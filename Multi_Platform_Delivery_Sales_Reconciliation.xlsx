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ataAnalystProjects\Multi-Platform Delivery Sales Reconciliation &amp; Performance Analytics\"/>
    </mc:Choice>
  </mc:AlternateContent>
  <xr:revisionPtr revIDLastSave="0" documentId="13_ncr:1_{45DA9D8A-A6A6-46A5-9E85-8B1E4AC41AD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xecutive Summary" sheetId="1" r:id="rId1"/>
    <sheet name="Reconciliation_Audit" sheetId="2" r:id="rId2"/>
    <sheet name="POS_Sales_Report" sheetId="3" r:id="rId3"/>
    <sheet name="Delivery_Platform_Report" sheetId="4" r:id="rId4"/>
    <sheet name="Data_Notes_Assump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" i="2"/>
  <c r="F18" i="2"/>
  <c r="F32" i="2"/>
  <c r="J32" i="2" s="1"/>
  <c r="K32" i="2" s="1"/>
  <c r="F50" i="2"/>
  <c r="F60" i="2"/>
  <c r="F82" i="2"/>
  <c r="F94" i="2"/>
  <c r="F108" i="2"/>
  <c r="F122" i="2"/>
  <c r="F150" i="2"/>
  <c r="F170" i="2"/>
  <c r="F184" i="2"/>
  <c r="F196" i="2"/>
  <c r="F208" i="2"/>
  <c r="E221" i="2"/>
  <c r="D221" i="2"/>
  <c r="C221" i="2"/>
  <c r="B221" i="2"/>
  <c r="F221" i="2" s="1"/>
  <c r="A221" i="2"/>
  <c r="E220" i="2"/>
  <c r="D220" i="2"/>
  <c r="C220" i="2"/>
  <c r="B220" i="2"/>
  <c r="F220" i="2" s="1"/>
  <c r="A220" i="2"/>
  <c r="E219" i="2"/>
  <c r="D219" i="2"/>
  <c r="C219" i="2"/>
  <c r="B219" i="2"/>
  <c r="F219" i="2" s="1"/>
  <c r="A219" i="2"/>
  <c r="E218" i="2"/>
  <c r="D218" i="2"/>
  <c r="C218" i="2"/>
  <c r="B218" i="2"/>
  <c r="F218" i="2" s="1"/>
  <c r="A218" i="2"/>
  <c r="E217" i="2"/>
  <c r="D217" i="2"/>
  <c r="C217" i="2"/>
  <c r="B217" i="2"/>
  <c r="F217" i="2" s="1"/>
  <c r="A217" i="2"/>
  <c r="E216" i="2"/>
  <c r="D216" i="2"/>
  <c r="C216" i="2"/>
  <c r="B216" i="2"/>
  <c r="F216" i="2" s="1"/>
  <c r="A216" i="2"/>
  <c r="E215" i="2"/>
  <c r="D215" i="2"/>
  <c r="C215" i="2"/>
  <c r="B215" i="2"/>
  <c r="F215" i="2" s="1"/>
  <c r="A215" i="2"/>
  <c r="E214" i="2"/>
  <c r="D214" i="2"/>
  <c r="C214" i="2"/>
  <c r="B214" i="2"/>
  <c r="F214" i="2" s="1"/>
  <c r="A214" i="2"/>
  <c r="E213" i="2"/>
  <c r="D213" i="2"/>
  <c r="C213" i="2"/>
  <c r="B213" i="2"/>
  <c r="F213" i="2" s="1"/>
  <c r="A213" i="2"/>
  <c r="E212" i="2"/>
  <c r="D212" i="2"/>
  <c r="C212" i="2"/>
  <c r="B212" i="2"/>
  <c r="F212" i="2" s="1"/>
  <c r="A212" i="2"/>
  <c r="E211" i="2"/>
  <c r="D211" i="2"/>
  <c r="C211" i="2"/>
  <c r="B211" i="2"/>
  <c r="F211" i="2" s="1"/>
  <c r="A211" i="2"/>
  <c r="E210" i="2"/>
  <c r="D210" i="2"/>
  <c r="C210" i="2"/>
  <c r="B210" i="2"/>
  <c r="F210" i="2" s="1"/>
  <c r="A210" i="2"/>
  <c r="E209" i="2"/>
  <c r="D209" i="2"/>
  <c r="C209" i="2"/>
  <c r="B209" i="2"/>
  <c r="F209" i="2" s="1"/>
  <c r="A209" i="2"/>
  <c r="E208" i="2"/>
  <c r="D208" i="2"/>
  <c r="C208" i="2"/>
  <c r="B208" i="2"/>
  <c r="A208" i="2"/>
  <c r="E207" i="2"/>
  <c r="D207" i="2"/>
  <c r="C207" i="2"/>
  <c r="B207" i="2"/>
  <c r="F207" i="2" s="1"/>
  <c r="A207" i="2"/>
  <c r="E206" i="2"/>
  <c r="D206" i="2"/>
  <c r="C206" i="2"/>
  <c r="B206" i="2"/>
  <c r="F206" i="2" s="1"/>
  <c r="A206" i="2"/>
  <c r="E205" i="2"/>
  <c r="D205" i="2"/>
  <c r="C205" i="2"/>
  <c r="B205" i="2"/>
  <c r="F205" i="2" s="1"/>
  <c r="A205" i="2"/>
  <c r="E204" i="2"/>
  <c r="D204" i="2"/>
  <c r="C204" i="2"/>
  <c r="B204" i="2"/>
  <c r="F204" i="2" s="1"/>
  <c r="A204" i="2"/>
  <c r="E203" i="2"/>
  <c r="D203" i="2"/>
  <c r="C203" i="2"/>
  <c r="B203" i="2"/>
  <c r="F203" i="2" s="1"/>
  <c r="A203" i="2"/>
  <c r="E202" i="2"/>
  <c r="D202" i="2"/>
  <c r="C202" i="2"/>
  <c r="B202" i="2"/>
  <c r="F202" i="2" s="1"/>
  <c r="A202" i="2"/>
  <c r="E201" i="2"/>
  <c r="D201" i="2"/>
  <c r="C201" i="2"/>
  <c r="B201" i="2"/>
  <c r="F201" i="2" s="1"/>
  <c r="A201" i="2"/>
  <c r="E200" i="2"/>
  <c r="D200" i="2"/>
  <c r="C200" i="2"/>
  <c r="B200" i="2"/>
  <c r="F200" i="2" s="1"/>
  <c r="A200" i="2"/>
  <c r="E199" i="2"/>
  <c r="D199" i="2"/>
  <c r="C199" i="2"/>
  <c r="B199" i="2"/>
  <c r="F199" i="2" s="1"/>
  <c r="A199" i="2"/>
  <c r="E198" i="2"/>
  <c r="D198" i="2"/>
  <c r="C198" i="2"/>
  <c r="B198" i="2"/>
  <c r="F198" i="2" s="1"/>
  <c r="A198" i="2"/>
  <c r="E197" i="2"/>
  <c r="D197" i="2"/>
  <c r="C197" i="2"/>
  <c r="B197" i="2"/>
  <c r="F197" i="2" s="1"/>
  <c r="A197" i="2"/>
  <c r="E196" i="2"/>
  <c r="D196" i="2"/>
  <c r="C196" i="2"/>
  <c r="B196" i="2"/>
  <c r="A196" i="2"/>
  <c r="E195" i="2"/>
  <c r="D195" i="2"/>
  <c r="C195" i="2"/>
  <c r="B195" i="2"/>
  <c r="F195" i="2" s="1"/>
  <c r="A195" i="2"/>
  <c r="E194" i="2"/>
  <c r="D194" i="2"/>
  <c r="C194" i="2"/>
  <c r="B194" i="2"/>
  <c r="F194" i="2" s="1"/>
  <c r="A194" i="2"/>
  <c r="E193" i="2"/>
  <c r="D193" i="2"/>
  <c r="C193" i="2"/>
  <c r="B193" i="2"/>
  <c r="F193" i="2" s="1"/>
  <c r="A193" i="2"/>
  <c r="E192" i="2"/>
  <c r="D192" i="2"/>
  <c r="C192" i="2"/>
  <c r="B192" i="2"/>
  <c r="F192" i="2" s="1"/>
  <c r="A192" i="2"/>
  <c r="E191" i="2"/>
  <c r="D191" i="2"/>
  <c r="C191" i="2"/>
  <c r="B191" i="2"/>
  <c r="F191" i="2" s="1"/>
  <c r="A191" i="2"/>
  <c r="E190" i="2"/>
  <c r="D190" i="2"/>
  <c r="C190" i="2"/>
  <c r="B190" i="2"/>
  <c r="F190" i="2" s="1"/>
  <c r="A190" i="2"/>
  <c r="E189" i="2"/>
  <c r="D189" i="2"/>
  <c r="C189" i="2"/>
  <c r="B189" i="2"/>
  <c r="F189" i="2" s="1"/>
  <c r="A189" i="2"/>
  <c r="E188" i="2"/>
  <c r="D188" i="2"/>
  <c r="C188" i="2"/>
  <c r="B188" i="2"/>
  <c r="F188" i="2" s="1"/>
  <c r="A188" i="2"/>
  <c r="E187" i="2"/>
  <c r="D187" i="2"/>
  <c r="C187" i="2"/>
  <c r="B187" i="2"/>
  <c r="F187" i="2" s="1"/>
  <c r="A187" i="2"/>
  <c r="E186" i="2"/>
  <c r="D186" i="2"/>
  <c r="C186" i="2"/>
  <c r="B186" i="2"/>
  <c r="F186" i="2" s="1"/>
  <c r="A186" i="2"/>
  <c r="E185" i="2"/>
  <c r="D185" i="2"/>
  <c r="C185" i="2"/>
  <c r="B185" i="2"/>
  <c r="F185" i="2" s="1"/>
  <c r="A185" i="2"/>
  <c r="E184" i="2"/>
  <c r="D184" i="2"/>
  <c r="C184" i="2"/>
  <c r="B184" i="2"/>
  <c r="A184" i="2"/>
  <c r="E183" i="2"/>
  <c r="D183" i="2"/>
  <c r="C183" i="2"/>
  <c r="B183" i="2"/>
  <c r="F183" i="2" s="1"/>
  <c r="A183" i="2"/>
  <c r="E182" i="2"/>
  <c r="D182" i="2"/>
  <c r="C182" i="2"/>
  <c r="B182" i="2"/>
  <c r="F182" i="2" s="1"/>
  <c r="A182" i="2"/>
  <c r="E181" i="2"/>
  <c r="D181" i="2"/>
  <c r="C181" i="2"/>
  <c r="B181" i="2"/>
  <c r="F181" i="2" s="1"/>
  <c r="A181" i="2"/>
  <c r="E180" i="2"/>
  <c r="D180" i="2"/>
  <c r="C180" i="2"/>
  <c r="B180" i="2"/>
  <c r="F180" i="2" s="1"/>
  <c r="A180" i="2"/>
  <c r="E179" i="2"/>
  <c r="D179" i="2"/>
  <c r="C179" i="2"/>
  <c r="B179" i="2"/>
  <c r="F179" i="2" s="1"/>
  <c r="A179" i="2"/>
  <c r="E178" i="2"/>
  <c r="D178" i="2"/>
  <c r="C178" i="2"/>
  <c r="B178" i="2"/>
  <c r="F178" i="2" s="1"/>
  <c r="A178" i="2"/>
  <c r="E177" i="2"/>
  <c r="D177" i="2"/>
  <c r="C177" i="2"/>
  <c r="B177" i="2"/>
  <c r="F177" i="2" s="1"/>
  <c r="A177" i="2"/>
  <c r="E176" i="2"/>
  <c r="D176" i="2"/>
  <c r="C176" i="2"/>
  <c r="B176" i="2"/>
  <c r="F176" i="2" s="1"/>
  <c r="A176" i="2"/>
  <c r="E175" i="2"/>
  <c r="D175" i="2"/>
  <c r="C175" i="2"/>
  <c r="B175" i="2"/>
  <c r="F175" i="2" s="1"/>
  <c r="A175" i="2"/>
  <c r="E174" i="2"/>
  <c r="D174" i="2"/>
  <c r="C174" i="2"/>
  <c r="B174" i="2"/>
  <c r="F174" i="2" s="1"/>
  <c r="A174" i="2"/>
  <c r="E173" i="2"/>
  <c r="D173" i="2"/>
  <c r="C173" i="2"/>
  <c r="B173" i="2"/>
  <c r="F173" i="2" s="1"/>
  <c r="A173" i="2"/>
  <c r="E172" i="2"/>
  <c r="D172" i="2"/>
  <c r="C172" i="2"/>
  <c r="B172" i="2"/>
  <c r="F172" i="2" s="1"/>
  <c r="A172" i="2"/>
  <c r="E171" i="2"/>
  <c r="D171" i="2"/>
  <c r="C171" i="2"/>
  <c r="B171" i="2"/>
  <c r="F171" i="2" s="1"/>
  <c r="A171" i="2"/>
  <c r="E170" i="2"/>
  <c r="D170" i="2"/>
  <c r="C170" i="2"/>
  <c r="B170" i="2"/>
  <c r="A170" i="2"/>
  <c r="E169" i="2"/>
  <c r="D169" i="2"/>
  <c r="C169" i="2"/>
  <c r="B169" i="2"/>
  <c r="F169" i="2" s="1"/>
  <c r="A169" i="2"/>
  <c r="E168" i="2"/>
  <c r="D168" i="2"/>
  <c r="C168" i="2"/>
  <c r="B168" i="2"/>
  <c r="F168" i="2" s="1"/>
  <c r="A168" i="2"/>
  <c r="E167" i="2"/>
  <c r="D167" i="2"/>
  <c r="C167" i="2"/>
  <c r="B167" i="2"/>
  <c r="F167" i="2" s="1"/>
  <c r="A167" i="2"/>
  <c r="E166" i="2"/>
  <c r="D166" i="2"/>
  <c r="C166" i="2"/>
  <c r="B166" i="2"/>
  <c r="F166" i="2" s="1"/>
  <c r="A166" i="2"/>
  <c r="E165" i="2"/>
  <c r="D165" i="2"/>
  <c r="C165" i="2"/>
  <c r="B165" i="2"/>
  <c r="F165" i="2" s="1"/>
  <c r="A165" i="2"/>
  <c r="E164" i="2"/>
  <c r="D164" i="2"/>
  <c r="C164" i="2"/>
  <c r="B164" i="2"/>
  <c r="F164" i="2" s="1"/>
  <c r="A164" i="2"/>
  <c r="E163" i="2"/>
  <c r="D163" i="2"/>
  <c r="C163" i="2"/>
  <c r="B163" i="2"/>
  <c r="F163" i="2" s="1"/>
  <c r="A163" i="2"/>
  <c r="E162" i="2"/>
  <c r="D162" i="2"/>
  <c r="C162" i="2"/>
  <c r="B162" i="2"/>
  <c r="F162" i="2" s="1"/>
  <c r="A162" i="2"/>
  <c r="E161" i="2"/>
  <c r="D161" i="2"/>
  <c r="C161" i="2"/>
  <c r="B161" i="2"/>
  <c r="F161" i="2" s="1"/>
  <c r="A161" i="2"/>
  <c r="E160" i="2"/>
  <c r="D160" i="2"/>
  <c r="C160" i="2"/>
  <c r="B160" i="2"/>
  <c r="F160" i="2" s="1"/>
  <c r="A160" i="2"/>
  <c r="E159" i="2"/>
  <c r="D159" i="2"/>
  <c r="C159" i="2"/>
  <c r="B159" i="2"/>
  <c r="F159" i="2" s="1"/>
  <c r="A159" i="2"/>
  <c r="E158" i="2"/>
  <c r="D158" i="2"/>
  <c r="C158" i="2"/>
  <c r="B158" i="2"/>
  <c r="F158" i="2" s="1"/>
  <c r="A158" i="2"/>
  <c r="E157" i="2"/>
  <c r="D157" i="2"/>
  <c r="C157" i="2"/>
  <c r="B157" i="2"/>
  <c r="F157" i="2" s="1"/>
  <c r="A157" i="2"/>
  <c r="E156" i="2"/>
  <c r="D156" i="2"/>
  <c r="C156" i="2"/>
  <c r="B156" i="2"/>
  <c r="F156" i="2" s="1"/>
  <c r="A156" i="2"/>
  <c r="E155" i="2"/>
  <c r="D155" i="2"/>
  <c r="C155" i="2"/>
  <c r="B155" i="2"/>
  <c r="F155" i="2" s="1"/>
  <c r="A155" i="2"/>
  <c r="E154" i="2"/>
  <c r="D154" i="2"/>
  <c r="C154" i="2"/>
  <c r="B154" i="2"/>
  <c r="F154" i="2" s="1"/>
  <c r="A154" i="2"/>
  <c r="E153" i="2"/>
  <c r="D153" i="2"/>
  <c r="C153" i="2"/>
  <c r="B153" i="2"/>
  <c r="F153" i="2" s="1"/>
  <c r="A153" i="2"/>
  <c r="E152" i="2"/>
  <c r="D152" i="2"/>
  <c r="C152" i="2"/>
  <c r="B152" i="2"/>
  <c r="F152" i="2" s="1"/>
  <c r="A152" i="2"/>
  <c r="E151" i="2"/>
  <c r="D151" i="2"/>
  <c r="C151" i="2"/>
  <c r="B151" i="2"/>
  <c r="F151" i="2" s="1"/>
  <c r="A151" i="2"/>
  <c r="E150" i="2"/>
  <c r="D150" i="2"/>
  <c r="C150" i="2"/>
  <c r="B150" i="2"/>
  <c r="A150" i="2"/>
  <c r="E149" i="2"/>
  <c r="D149" i="2"/>
  <c r="C149" i="2"/>
  <c r="B149" i="2"/>
  <c r="F149" i="2" s="1"/>
  <c r="A149" i="2"/>
  <c r="E148" i="2"/>
  <c r="D148" i="2"/>
  <c r="C148" i="2"/>
  <c r="B148" i="2"/>
  <c r="F148" i="2" s="1"/>
  <c r="A148" i="2"/>
  <c r="E147" i="2"/>
  <c r="D147" i="2"/>
  <c r="C147" i="2"/>
  <c r="B147" i="2"/>
  <c r="F147" i="2" s="1"/>
  <c r="A147" i="2"/>
  <c r="E146" i="2"/>
  <c r="D146" i="2"/>
  <c r="C146" i="2"/>
  <c r="B146" i="2"/>
  <c r="F146" i="2" s="1"/>
  <c r="A146" i="2"/>
  <c r="E145" i="2"/>
  <c r="D145" i="2"/>
  <c r="C145" i="2"/>
  <c r="B145" i="2"/>
  <c r="F145" i="2" s="1"/>
  <c r="A145" i="2"/>
  <c r="E144" i="2"/>
  <c r="D144" i="2"/>
  <c r="C144" i="2"/>
  <c r="B144" i="2"/>
  <c r="F144" i="2" s="1"/>
  <c r="A144" i="2"/>
  <c r="E143" i="2"/>
  <c r="D143" i="2"/>
  <c r="C143" i="2"/>
  <c r="B143" i="2"/>
  <c r="F143" i="2" s="1"/>
  <c r="A143" i="2"/>
  <c r="E142" i="2"/>
  <c r="D142" i="2"/>
  <c r="C142" i="2"/>
  <c r="B142" i="2"/>
  <c r="F142" i="2" s="1"/>
  <c r="A142" i="2"/>
  <c r="E141" i="2"/>
  <c r="D141" i="2"/>
  <c r="C141" i="2"/>
  <c r="B141" i="2"/>
  <c r="F141" i="2" s="1"/>
  <c r="A141" i="2"/>
  <c r="E140" i="2"/>
  <c r="D140" i="2"/>
  <c r="C140" i="2"/>
  <c r="B140" i="2"/>
  <c r="F140" i="2" s="1"/>
  <c r="A140" i="2"/>
  <c r="E139" i="2"/>
  <c r="D139" i="2"/>
  <c r="C139" i="2"/>
  <c r="B139" i="2"/>
  <c r="F139" i="2" s="1"/>
  <c r="A139" i="2"/>
  <c r="E138" i="2"/>
  <c r="D138" i="2"/>
  <c r="C138" i="2"/>
  <c r="B138" i="2"/>
  <c r="F138" i="2" s="1"/>
  <c r="A138" i="2"/>
  <c r="E137" i="2"/>
  <c r="D137" i="2"/>
  <c r="C137" i="2"/>
  <c r="B137" i="2"/>
  <c r="F137" i="2" s="1"/>
  <c r="A137" i="2"/>
  <c r="E136" i="2"/>
  <c r="D136" i="2"/>
  <c r="C136" i="2"/>
  <c r="B136" i="2"/>
  <c r="F136" i="2" s="1"/>
  <c r="A136" i="2"/>
  <c r="E135" i="2"/>
  <c r="D135" i="2"/>
  <c r="C135" i="2"/>
  <c r="B135" i="2"/>
  <c r="F135" i="2" s="1"/>
  <c r="A135" i="2"/>
  <c r="E134" i="2"/>
  <c r="D134" i="2"/>
  <c r="C134" i="2"/>
  <c r="B134" i="2"/>
  <c r="F134" i="2" s="1"/>
  <c r="A134" i="2"/>
  <c r="E133" i="2"/>
  <c r="D133" i="2"/>
  <c r="C133" i="2"/>
  <c r="B133" i="2"/>
  <c r="F133" i="2" s="1"/>
  <c r="A133" i="2"/>
  <c r="E132" i="2"/>
  <c r="D132" i="2"/>
  <c r="C132" i="2"/>
  <c r="B132" i="2"/>
  <c r="F132" i="2" s="1"/>
  <c r="A132" i="2"/>
  <c r="E131" i="2"/>
  <c r="D131" i="2"/>
  <c r="C131" i="2"/>
  <c r="B131" i="2"/>
  <c r="F131" i="2" s="1"/>
  <c r="A131" i="2"/>
  <c r="E130" i="2"/>
  <c r="D130" i="2"/>
  <c r="C130" i="2"/>
  <c r="B130" i="2"/>
  <c r="F130" i="2" s="1"/>
  <c r="A130" i="2"/>
  <c r="E129" i="2"/>
  <c r="D129" i="2"/>
  <c r="C129" i="2"/>
  <c r="B129" i="2"/>
  <c r="F129" i="2" s="1"/>
  <c r="A129" i="2"/>
  <c r="E128" i="2"/>
  <c r="D128" i="2"/>
  <c r="C128" i="2"/>
  <c r="B128" i="2"/>
  <c r="F128" i="2" s="1"/>
  <c r="A128" i="2"/>
  <c r="E127" i="2"/>
  <c r="D127" i="2"/>
  <c r="C127" i="2"/>
  <c r="B127" i="2"/>
  <c r="F127" i="2" s="1"/>
  <c r="A127" i="2"/>
  <c r="E126" i="2"/>
  <c r="D126" i="2"/>
  <c r="C126" i="2"/>
  <c r="B126" i="2"/>
  <c r="F126" i="2" s="1"/>
  <c r="A126" i="2"/>
  <c r="E125" i="2"/>
  <c r="D125" i="2"/>
  <c r="C125" i="2"/>
  <c r="B125" i="2"/>
  <c r="F125" i="2" s="1"/>
  <c r="A125" i="2"/>
  <c r="E124" i="2"/>
  <c r="D124" i="2"/>
  <c r="C124" i="2"/>
  <c r="B124" i="2"/>
  <c r="F124" i="2" s="1"/>
  <c r="A124" i="2"/>
  <c r="E123" i="2"/>
  <c r="D123" i="2"/>
  <c r="C123" i="2"/>
  <c r="B123" i="2"/>
  <c r="F123" i="2" s="1"/>
  <c r="A123" i="2"/>
  <c r="E122" i="2"/>
  <c r="D122" i="2"/>
  <c r="C122" i="2"/>
  <c r="B122" i="2"/>
  <c r="A122" i="2"/>
  <c r="E121" i="2"/>
  <c r="D121" i="2"/>
  <c r="C121" i="2"/>
  <c r="B121" i="2"/>
  <c r="F121" i="2" s="1"/>
  <c r="A121" i="2"/>
  <c r="E120" i="2"/>
  <c r="D120" i="2"/>
  <c r="C120" i="2"/>
  <c r="B120" i="2"/>
  <c r="F120" i="2" s="1"/>
  <c r="A120" i="2"/>
  <c r="E119" i="2"/>
  <c r="D119" i="2"/>
  <c r="C119" i="2"/>
  <c r="B119" i="2"/>
  <c r="F119" i="2" s="1"/>
  <c r="A119" i="2"/>
  <c r="E118" i="2"/>
  <c r="D118" i="2"/>
  <c r="C118" i="2"/>
  <c r="B118" i="2"/>
  <c r="F118" i="2" s="1"/>
  <c r="A118" i="2"/>
  <c r="E117" i="2"/>
  <c r="D117" i="2"/>
  <c r="C117" i="2"/>
  <c r="B117" i="2"/>
  <c r="F117" i="2" s="1"/>
  <c r="A117" i="2"/>
  <c r="E116" i="2"/>
  <c r="D116" i="2"/>
  <c r="C116" i="2"/>
  <c r="B116" i="2"/>
  <c r="F116" i="2" s="1"/>
  <c r="A116" i="2"/>
  <c r="E115" i="2"/>
  <c r="D115" i="2"/>
  <c r="C115" i="2"/>
  <c r="B115" i="2"/>
  <c r="F115" i="2" s="1"/>
  <c r="A115" i="2"/>
  <c r="E114" i="2"/>
  <c r="D114" i="2"/>
  <c r="C114" i="2"/>
  <c r="B114" i="2"/>
  <c r="F114" i="2" s="1"/>
  <c r="A114" i="2"/>
  <c r="E113" i="2"/>
  <c r="D113" i="2"/>
  <c r="C113" i="2"/>
  <c r="B113" i="2"/>
  <c r="F113" i="2" s="1"/>
  <c r="A113" i="2"/>
  <c r="E112" i="2"/>
  <c r="D112" i="2"/>
  <c r="C112" i="2"/>
  <c r="B112" i="2"/>
  <c r="F112" i="2" s="1"/>
  <c r="A112" i="2"/>
  <c r="E111" i="2"/>
  <c r="D111" i="2"/>
  <c r="C111" i="2"/>
  <c r="B111" i="2"/>
  <c r="F111" i="2" s="1"/>
  <c r="A111" i="2"/>
  <c r="E110" i="2"/>
  <c r="D110" i="2"/>
  <c r="C110" i="2"/>
  <c r="B110" i="2"/>
  <c r="F110" i="2" s="1"/>
  <c r="A110" i="2"/>
  <c r="E109" i="2"/>
  <c r="D109" i="2"/>
  <c r="C109" i="2"/>
  <c r="B109" i="2"/>
  <c r="F109" i="2" s="1"/>
  <c r="A109" i="2"/>
  <c r="E108" i="2"/>
  <c r="D108" i="2"/>
  <c r="C108" i="2"/>
  <c r="B108" i="2"/>
  <c r="A108" i="2"/>
  <c r="E107" i="2"/>
  <c r="D107" i="2"/>
  <c r="C107" i="2"/>
  <c r="B107" i="2"/>
  <c r="F107" i="2" s="1"/>
  <c r="A107" i="2"/>
  <c r="E106" i="2"/>
  <c r="D106" i="2"/>
  <c r="C106" i="2"/>
  <c r="B106" i="2"/>
  <c r="F106" i="2" s="1"/>
  <c r="A106" i="2"/>
  <c r="E105" i="2"/>
  <c r="D105" i="2"/>
  <c r="C105" i="2"/>
  <c r="B105" i="2"/>
  <c r="F105" i="2" s="1"/>
  <c r="A105" i="2"/>
  <c r="E104" i="2"/>
  <c r="D104" i="2"/>
  <c r="C104" i="2"/>
  <c r="B104" i="2"/>
  <c r="F104" i="2" s="1"/>
  <c r="A104" i="2"/>
  <c r="E103" i="2"/>
  <c r="D103" i="2"/>
  <c r="C103" i="2"/>
  <c r="B103" i="2"/>
  <c r="F103" i="2" s="1"/>
  <c r="A103" i="2"/>
  <c r="E102" i="2"/>
  <c r="D102" i="2"/>
  <c r="C102" i="2"/>
  <c r="B102" i="2"/>
  <c r="F102" i="2" s="1"/>
  <c r="A102" i="2"/>
  <c r="E101" i="2"/>
  <c r="D101" i="2"/>
  <c r="C101" i="2"/>
  <c r="B101" i="2"/>
  <c r="F101" i="2" s="1"/>
  <c r="A101" i="2"/>
  <c r="E100" i="2"/>
  <c r="D100" i="2"/>
  <c r="C100" i="2"/>
  <c r="B100" i="2"/>
  <c r="F100" i="2" s="1"/>
  <c r="A100" i="2"/>
  <c r="E99" i="2"/>
  <c r="D99" i="2"/>
  <c r="C99" i="2"/>
  <c r="B99" i="2"/>
  <c r="F99" i="2" s="1"/>
  <c r="A99" i="2"/>
  <c r="E98" i="2"/>
  <c r="D98" i="2"/>
  <c r="C98" i="2"/>
  <c r="B98" i="2"/>
  <c r="F98" i="2" s="1"/>
  <c r="A98" i="2"/>
  <c r="E97" i="2"/>
  <c r="D97" i="2"/>
  <c r="C97" i="2"/>
  <c r="B97" i="2"/>
  <c r="F97" i="2" s="1"/>
  <c r="A97" i="2"/>
  <c r="E96" i="2"/>
  <c r="D96" i="2"/>
  <c r="C96" i="2"/>
  <c r="B96" i="2"/>
  <c r="F96" i="2" s="1"/>
  <c r="A96" i="2"/>
  <c r="E95" i="2"/>
  <c r="D95" i="2"/>
  <c r="C95" i="2"/>
  <c r="B95" i="2"/>
  <c r="F95" i="2" s="1"/>
  <c r="A95" i="2"/>
  <c r="E94" i="2"/>
  <c r="D94" i="2"/>
  <c r="C94" i="2"/>
  <c r="B94" i="2"/>
  <c r="A94" i="2"/>
  <c r="E93" i="2"/>
  <c r="D93" i="2"/>
  <c r="C93" i="2"/>
  <c r="B93" i="2"/>
  <c r="F93" i="2" s="1"/>
  <c r="A93" i="2"/>
  <c r="E92" i="2"/>
  <c r="D92" i="2"/>
  <c r="C92" i="2"/>
  <c r="B92" i="2"/>
  <c r="F92" i="2" s="1"/>
  <c r="A92" i="2"/>
  <c r="E91" i="2"/>
  <c r="D91" i="2"/>
  <c r="C91" i="2"/>
  <c r="B91" i="2"/>
  <c r="F91" i="2" s="1"/>
  <c r="A91" i="2"/>
  <c r="E90" i="2"/>
  <c r="D90" i="2"/>
  <c r="C90" i="2"/>
  <c r="B90" i="2"/>
  <c r="F90" i="2" s="1"/>
  <c r="A90" i="2"/>
  <c r="E89" i="2"/>
  <c r="D89" i="2"/>
  <c r="C89" i="2"/>
  <c r="B89" i="2"/>
  <c r="F89" i="2" s="1"/>
  <c r="A89" i="2"/>
  <c r="E88" i="2"/>
  <c r="D88" i="2"/>
  <c r="C88" i="2"/>
  <c r="B88" i="2"/>
  <c r="F88" i="2" s="1"/>
  <c r="A88" i="2"/>
  <c r="E87" i="2"/>
  <c r="D87" i="2"/>
  <c r="C87" i="2"/>
  <c r="B87" i="2"/>
  <c r="F87" i="2" s="1"/>
  <c r="A87" i="2"/>
  <c r="E86" i="2"/>
  <c r="D86" i="2"/>
  <c r="C86" i="2"/>
  <c r="B86" i="2"/>
  <c r="F86" i="2" s="1"/>
  <c r="A86" i="2"/>
  <c r="E85" i="2"/>
  <c r="D85" i="2"/>
  <c r="C85" i="2"/>
  <c r="B85" i="2"/>
  <c r="F85" i="2" s="1"/>
  <c r="A85" i="2"/>
  <c r="E84" i="2"/>
  <c r="D84" i="2"/>
  <c r="C84" i="2"/>
  <c r="B84" i="2"/>
  <c r="F84" i="2" s="1"/>
  <c r="A84" i="2"/>
  <c r="E83" i="2"/>
  <c r="D83" i="2"/>
  <c r="C83" i="2"/>
  <c r="B83" i="2"/>
  <c r="F83" i="2" s="1"/>
  <c r="A83" i="2"/>
  <c r="E82" i="2"/>
  <c r="D82" i="2"/>
  <c r="C82" i="2"/>
  <c r="B82" i="2"/>
  <c r="A82" i="2"/>
  <c r="E81" i="2"/>
  <c r="D81" i="2"/>
  <c r="C81" i="2"/>
  <c r="B81" i="2"/>
  <c r="F81" i="2" s="1"/>
  <c r="A81" i="2"/>
  <c r="E80" i="2"/>
  <c r="D80" i="2"/>
  <c r="C80" i="2"/>
  <c r="B80" i="2"/>
  <c r="F80" i="2" s="1"/>
  <c r="A80" i="2"/>
  <c r="E79" i="2"/>
  <c r="D79" i="2"/>
  <c r="C79" i="2"/>
  <c r="B79" i="2"/>
  <c r="F79" i="2" s="1"/>
  <c r="A79" i="2"/>
  <c r="E78" i="2"/>
  <c r="D78" i="2"/>
  <c r="C78" i="2"/>
  <c r="B78" i="2"/>
  <c r="F78" i="2" s="1"/>
  <c r="A78" i="2"/>
  <c r="E77" i="2"/>
  <c r="D77" i="2"/>
  <c r="C77" i="2"/>
  <c r="B77" i="2"/>
  <c r="F77" i="2" s="1"/>
  <c r="A77" i="2"/>
  <c r="E76" i="2"/>
  <c r="D76" i="2"/>
  <c r="C76" i="2"/>
  <c r="B76" i="2"/>
  <c r="F76" i="2" s="1"/>
  <c r="A76" i="2"/>
  <c r="E75" i="2"/>
  <c r="D75" i="2"/>
  <c r="C75" i="2"/>
  <c r="B75" i="2"/>
  <c r="F75" i="2" s="1"/>
  <c r="A75" i="2"/>
  <c r="E74" i="2"/>
  <c r="D74" i="2"/>
  <c r="C74" i="2"/>
  <c r="B74" i="2"/>
  <c r="F74" i="2" s="1"/>
  <c r="A74" i="2"/>
  <c r="E73" i="2"/>
  <c r="D73" i="2"/>
  <c r="C73" i="2"/>
  <c r="B73" i="2"/>
  <c r="F73" i="2" s="1"/>
  <c r="A73" i="2"/>
  <c r="E72" i="2"/>
  <c r="D72" i="2"/>
  <c r="C72" i="2"/>
  <c r="B72" i="2"/>
  <c r="F72" i="2" s="1"/>
  <c r="A72" i="2"/>
  <c r="E71" i="2"/>
  <c r="D71" i="2"/>
  <c r="C71" i="2"/>
  <c r="B71" i="2"/>
  <c r="F71" i="2" s="1"/>
  <c r="A71" i="2"/>
  <c r="E70" i="2"/>
  <c r="D70" i="2"/>
  <c r="C70" i="2"/>
  <c r="B70" i="2"/>
  <c r="F70" i="2" s="1"/>
  <c r="A70" i="2"/>
  <c r="E69" i="2"/>
  <c r="D69" i="2"/>
  <c r="C69" i="2"/>
  <c r="B69" i="2"/>
  <c r="F69" i="2" s="1"/>
  <c r="A69" i="2"/>
  <c r="E68" i="2"/>
  <c r="D68" i="2"/>
  <c r="C68" i="2"/>
  <c r="B68" i="2"/>
  <c r="F68" i="2" s="1"/>
  <c r="A68" i="2"/>
  <c r="E67" i="2"/>
  <c r="D67" i="2"/>
  <c r="C67" i="2"/>
  <c r="B67" i="2"/>
  <c r="F67" i="2" s="1"/>
  <c r="A67" i="2"/>
  <c r="E66" i="2"/>
  <c r="D66" i="2"/>
  <c r="C66" i="2"/>
  <c r="B66" i="2"/>
  <c r="F66" i="2" s="1"/>
  <c r="A66" i="2"/>
  <c r="E65" i="2"/>
  <c r="D65" i="2"/>
  <c r="C65" i="2"/>
  <c r="B65" i="2"/>
  <c r="F65" i="2" s="1"/>
  <c r="A65" i="2"/>
  <c r="E64" i="2"/>
  <c r="D64" i="2"/>
  <c r="C64" i="2"/>
  <c r="B64" i="2"/>
  <c r="F64" i="2" s="1"/>
  <c r="A64" i="2"/>
  <c r="E63" i="2"/>
  <c r="D63" i="2"/>
  <c r="C63" i="2"/>
  <c r="B63" i="2"/>
  <c r="F63" i="2" s="1"/>
  <c r="A63" i="2"/>
  <c r="E62" i="2"/>
  <c r="D62" i="2"/>
  <c r="C62" i="2"/>
  <c r="B62" i="2"/>
  <c r="F62" i="2" s="1"/>
  <c r="A62" i="2"/>
  <c r="E61" i="2"/>
  <c r="D61" i="2"/>
  <c r="C61" i="2"/>
  <c r="B61" i="2"/>
  <c r="F61" i="2" s="1"/>
  <c r="A61" i="2"/>
  <c r="E60" i="2"/>
  <c r="D60" i="2"/>
  <c r="C60" i="2"/>
  <c r="B60" i="2"/>
  <c r="A60" i="2"/>
  <c r="E59" i="2"/>
  <c r="D59" i="2"/>
  <c r="C59" i="2"/>
  <c r="B59" i="2"/>
  <c r="F59" i="2" s="1"/>
  <c r="A59" i="2"/>
  <c r="E58" i="2"/>
  <c r="D58" i="2"/>
  <c r="C58" i="2"/>
  <c r="B58" i="2"/>
  <c r="F58" i="2" s="1"/>
  <c r="A58" i="2"/>
  <c r="E57" i="2"/>
  <c r="D57" i="2"/>
  <c r="C57" i="2"/>
  <c r="B57" i="2"/>
  <c r="F57" i="2" s="1"/>
  <c r="A57" i="2"/>
  <c r="E56" i="2"/>
  <c r="D56" i="2"/>
  <c r="C56" i="2"/>
  <c r="B56" i="2"/>
  <c r="F56" i="2" s="1"/>
  <c r="A56" i="2"/>
  <c r="E55" i="2"/>
  <c r="D55" i="2"/>
  <c r="C55" i="2"/>
  <c r="B55" i="2"/>
  <c r="F55" i="2" s="1"/>
  <c r="A55" i="2"/>
  <c r="E54" i="2"/>
  <c r="D54" i="2"/>
  <c r="C54" i="2"/>
  <c r="B54" i="2"/>
  <c r="F54" i="2" s="1"/>
  <c r="A54" i="2"/>
  <c r="E53" i="2"/>
  <c r="D53" i="2"/>
  <c r="C53" i="2"/>
  <c r="B53" i="2"/>
  <c r="F53" i="2" s="1"/>
  <c r="A53" i="2"/>
  <c r="E52" i="2"/>
  <c r="D52" i="2"/>
  <c r="C52" i="2"/>
  <c r="B52" i="2"/>
  <c r="F52" i="2" s="1"/>
  <c r="A52" i="2"/>
  <c r="E51" i="2"/>
  <c r="D51" i="2"/>
  <c r="C51" i="2"/>
  <c r="B51" i="2"/>
  <c r="F51" i="2" s="1"/>
  <c r="A51" i="2"/>
  <c r="E50" i="2"/>
  <c r="D50" i="2"/>
  <c r="C50" i="2"/>
  <c r="B50" i="2"/>
  <c r="A50" i="2"/>
  <c r="E49" i="2"/>
  <c r="D49" i="2"/>
  <c r="C49" i="2"/>
  <c r="B49" i="2"/>
  <c r="F49" i="2" s="1"/>
  <c r="A49" i="2"/>
  <c r="E48" i="2"/>
  <c r="D48" i="2"/>
  <c r="C48" i="2"/>
  <c r="B48" i="2"/>
  <c r="F48" i="2" s="1"/>
  <c r="A48" i="2"/>
  <c r="E47" i="2"/>
  <c r="D47" i="2"/>
  <c r="C47" i="2"/>
  <c r="B47" i="2"/>
  <c r="F47" i="2" s="1"/>
  <c r="A47" i="2"/>
  <c r="E46" i="2"/>
  <c r="D46" i="2"/>
  <c r="C46" i="2"/>
  <c r="B46" i="2"/>
  <c r="F46" i="2" s="1"/>
  <c r="A46" i="2"/>
  <c r="E45" i="2"/>
  <c r="D45" i="2"/>
  <c r="C45" i="2"/>
  <c r="B45" i="2"/>
  <c r="F45" i="2" s="1"/>
  <c r="A45" i="2"/>
  <c r="E44" i="2"/>
  <c r="D44" i="2"/>
  <c r="C44" i="2"/>
  <c r="B44" i="2"/>
  <c r="F44" i="2" s="1"/>
  <c r="A44" i="2"/>
  <c r="E43" i="2"/>
  <c r="D43" i="2"/>
  <c r="C43" i="2"/>
  <c r="B43" i="2"/>
  <c r="F43" i="2" s="1"/>
  <c r="A43" i="2"/>
  <c r="E42" i="2"/>
  <c r="D42" i="2"/>
  <c r="C42" i="2"/>
  <c r="B42" i="2"/>
  <c r="F42" i="2" s="1"/>
  <c r="A42" i="2"/>
  <c r="E41" i="2"/>
  <c r="D41" i="2"/>
  <c r="C41" i="2"/>
  <c r="B41" i="2"/>
  <c r="F41" i="2" s="1"/>
  <c r="A41" i="2"/>
  <c r="E40" i="2"/>
  <c r="D40" i="2"/>
  <c r="C40" i="2"/>
  <c r="B40" i="2"/>
  <c r="F40" i="2" s="1"/>
  <c r="A40" i="2"/>
  <c r="E39" i="2"/>
  <c r="D39" i="2"/>
  <c r="C39" i="2"/>
  <c r="B39" i="2"/>
  <c r="F39" i="2" s="1"/>
  <c r="A39" i="2"/>
  <c r="E38" i="2"/>
  <c r="D38" i="2"/>
  <c r="C38" i="2"/>
  <c r="B38" i="2"/>
  <c r="F38" i="2" s="1"/>
  <c r="A38" i="2"/>
  <c r="E37" i="2"/>
  <c r="D37" i="2"/>
  <c r="C37" i="2"/>
  <c r="B37" i="2"/>
  <c r="F37" i="2" s="1"/>
  <c r="A37" i="2"/>
  <c r="E36" i="2"/>
  <c r="D36" i="2"/>
  <c r="C36" i="2"/>
  <c r="B36" i="2"/>
  <c r="F36" i="2" s="1"/>
  <c r="A36" i="2"/>
  <c r="E35" i="2"/>
  <c r="D35" i="2"/>
  <c r="C35" i="2"/>
  <c r="B35" i="2"/>
  <c r="F35" i="2" s="1"/>
  <c r="A35" i="2"/>
  <c r="E34" i="2"/>
  <c r="D34" i="2"/>
  <c r="C34" i="2"/>
  <c r="B34" i="2"/>
  <c r="F34" i="2" s="1"/>
  <c r="A34" i="2"/>
  <c r="E33" i="2"/>
  <c r="D33" i="2"/>
  <c r="C33" i="2"/>
  <c r="B33" i="2"/>
  <c r="F33" i="2" s="1"/>
  <c r="A33" i="2"/>
  <c r="E32" i="2"/>
  <c r="D32" i="2"/>
  <c r="C32" i="2"/>
  <c r="B32" i="2"/>
  <c r="A32" i="2"/>
  <c r="E31" i="2"/>
  <c r="D31" i="2"/>
  <c r="C31" i="2"/>
  <c r="B31" i="2"/>
  <c r="F31" i="2" s="1"/>
  <c r="A31" i="2"/>
  <c r="E30" i="2"/>
  <c r="D30" i="2"/>
  <c r="C30" i="2"/>
  <c r="B30" i="2"/>
  <c r="F30" i="2" s="1"/>
  <c r="A30" i="2"/>
  <c r="E29" i="2"/>
  <c r="D29" i="2"/>
  <c r="C29" i="2"/>
  <c r="B29" i="2"/>
  <c r="F29" i="2" s="1"/>
  <c r="A29" i="2"/>
  <c r="E28" i="2"/>
  <c r="D28" i="2"/>
  <c r="C28" i="2"/>
  <c r="B28" i="2"/>
  <c r="F28" i="2" s="1"/>
  <c r="A28" i="2"/>
  <c r="E27" i="2"/>
  <c r="D27" i="2"/>
  <c r="C27" i="2"/>
  <c r="B27" i="2"/>
  <c r="F27" i="2" s="1"/>
  <c r="A27" i="2"/>
  <c r="E26" i="2"/>
  <c r="D26" i="2"/>
  <c r="C26" i="2"/>
  <c r="B26" i="2"/>
  <c r="F26" i="2" s="1"/>
  <c r="A26" i="2"/>
  <c r="E25" i="2"/>
  <c r="D25" i="2"/>
  <c r="C25" i="2"/>
  <c r="B25" i="2"/>
  <c r="F25" i="2" s="1"/>
  <c r="A25" i="2"/>
  <c r="E24" i="2"/>
  <c r="D24" i="2"/>
  <c r="C24" i="2"/>
  <c r="B24" i="2"/>
  <c r="F24" i="2" s="1"/>
  <c r="A24" i="2"/>
  <c r="E23" i="2"/>
  <c r="D23" i="2"/>
  <c r="C23" i="2"/>
  <c r="B23" i="2"/>
  <c r="F23" i="2" s="1"/>
  <c r="A23" i="2"/>
  <c r="E22" i="2"/>
  <c r="D22" i="2"/>
  <c r="C22" i="2"/>
  <c r="B22" i="2"/>
  <c r="F22" i="2" s="1"/>
  <c r="A22" i="2"/>
  <c r="E21" i="2"/>
  <c r="D21" i="2"/>
  <c r="C21" i="2"/>
  <c r="B21" i="2"/>
  <c r="F21" i="2" s="1"/>
  <c r="A21" i="2"/>
  <c r="E20" i="2"/>
  <c r="D20" i="2"/>
  <c r="C20" i="2"/>
  <c r="B20" i="2"/>
  <c r="F20" i="2" s="1"/>
  <c r="A20" i="2"/>
  <c r="E19" i="2"/>
  <c r="D19" i="2"/>
  <c r="C19" i="2"/>
  <c r="B19" i="2"/>
  <c r="F19" i="2" s="1"/>
  <c r="A19" i="2"/>
  <c r="E18" i="2"/>
  <c r="D18" i="2"/>
  <c r="C18" i="2"/>
  <c r="B18" i="2"/>
  <c r="A18" i="2"/>
  <c r="E17" i="2"/>
  <c r="D17" i="2"/>
  <c r="C17" i="2"/>
  <c r="B17" i="2"/>
  <c r="F17" i="2" s="1"/>
  <c r="J17" i="2" s="1"/>
  <c r="K17" i="2" s="1"/>
  <c r="A17" i="2"/>
  <c r="E16" i="2"/>
  <c r="D16" i="2"/>
  <c r="C16" i="2"/>
  <c r="B16" i="2"/>
  <c r="F16" i="2" s="1"/>
  <c r="A16" i="2"/>
  <c r="E15" i="2"/>
  <c r="D15" i="2"/>
  <c r="C15" i="2"/>
  <c r="B15" i="2"/>
  <c r="F15" i="2" s="1"/>
  <c r="A15" i="2"/>
  <c r="E14" i="2"/>
  <c r="D14" i="2"/>
  <c r="C14" i="2"/>
  <c r="B14" i="2"/>
  <c r="F14" i="2" s="1"/>
  <c r="A14" i="2"/>
  <c r="E13" i="2"/>
  <c r="D13" i="2"/>
  <c r="C13" i="2"/>
  <c r="B13" i="2"/>
  <c r="F13" i="2" s="1"/>
  <c r="A13" i="2"/>
  <c r="E12" i="2"/>
  <c r="D12" i="2"/>
  <c r="C12" i="2"/>
  <c r="B12" i="2"/>
  <c r="F12" i="2" s="1"/>
  <c r="A12" i="2"/>
  <c r="E11" i="2"/>
  <c r="D11" i="2"/>
  <c r="C11" i="2"/>
  <c r="B11" i="2"/>
  <c r="F11" i="2" s="1"/>
  <c r="A11" i="2"/>
  <c r="E10" i="2"/>
  <c r="D10" i="2"/>
  <c r="C10" i="2"/>
  <c r="B10" i="2"/>
  <c r="F10" i="2" s="1"/>
  <c r="A10" i="2"/>
  <c r="E9" i="2"/>
  <c r="D9" i="2"/>
  <c r="C9" i="2"/>
  <c r="B9" i="2"/>
  <c r="F9" i="2" s="1"/>
  <c r="A9" i="2"/>
  <c r="E8" i="2"/>
  <c r="D8" i="2"/>
  <c r="C8" i="2"/>
  <c r="B8" i="2"/>
  <c r="F8" i="2" s="1"/>
  <c r="A8" i="2"/>
  <c r="E7" i="2"/>
  <c r="D7" i="2"/>
  <c r="C7" i="2"/>
  <c r="B7" i="2"/>
  <c r="F7" i="2" s="1"/>
  <c r="A7" i="2"/>
  <c r="E6" i="2"/>
  <c r="D6" i="2"/>
  <c r="C6" i="2"/>
  <c r="B6" i="2"/>
  <c r="F6" i="2" s="1"/>
  <c r="A6" i="2"/>
  <c r="E5" i="2"/>
  <c r="D5" i="2"/>
  <c r="C5" i="2"/>
  <c r="B5" i="2"/>
  <c r="F5" i="2" s="1"/>
  <c r="A5" i="2"/>
  <c r="E4" i="2"/>
  <c r="D4" i="2"/>
  <c r="C4" i="2"/>
  <c r="B4" i="2"/>
  <c r="F4" i="2" s="1"/>
  <c r="A4" i="2"/>
  <c r="E3" i="2"/>
  <c r="D3" i="2"/>
  <c r="C3" i="2"/>
  <c r="B3" i="2"/>
  <c r="F3" i="2" s="1"/>
  <c r="A3" i="2"/>
  <c r="E2" i="2"/>
  <c r="D2" i="2"/>
  <c r="C2" i="2"/>
  <c r="B2" i="2"/>
  <c r="F2" i="2" s="1"/>
  <c r="A2" i="2"/>
  <c r="D13" i="1"/>
  <c r="C13" i="1"/>
  <c r="B13" i="1"/>
  <c r="D9" i="1"/>
  <c r="C9" i="1"/>
  <c r="B9" i="1"/>
  <c r="D11" i="1"/>
  <c r="C11" i="1"/>
  <c r="B11" i="1"/>
  <c r="D12" i="1"/>
  <c r="C12" i="1"/>
  <c r="B12" i="1"/>
  <c r="D10" i="1"/>
  <c r="C10" i="1"/>
  <c r="B10" i="1"/>
  <c r="B5" i="1"/>
  <c r="A5" i="1"/>
  <c r="J39" i="2" l="1"/>
  <c r="K39" i="2" s="1"/>
  <c r="J107" i="2"/>
  <c r="K107" i="2" s="1"/>
  <c r="J156" i="2"/>
  <c r="K156" i="2" s="1"/>
  <c r="J208" i="2"/>
  <c r="K208" i="2" s="1"/>
  <c r="J192" i="2"/>
  <c r="K192" i="2" s="1"/>
  <c r="J219" i="2"/>
  <c r="K219" i="2" s="1"/>
  <c r="J55" i="2"/>
  <c r="K55" i="2" s="1"/>
  <c r="J82" i="2"/>
  <c r="K82" i="2" s="1"/>
  <c r="J169" i="2"/>
  <c r="K169" i="2" s="1"/>
  <c r="J71" i="2"/>
  <c r="K71" i="2" s="1"/>
  <c r="J23" i="2"/>
  <c r="K23" i="2" s="1"/>
  <c r="J163" i="2"/>
  <c r="K163" i="2" s="1"/>
  <c r="J176" i="2"/>
  <c r="K176" i="2" s="1"/>
  <c r="J90" i="2"/>
  <c r="K90" i="2" s="1"/>
  <c r="J14" i="2"/>
  <c r="K14" i="2" s="1"/>
  <c r="J42" i="2"/>
  <c r="K42" i="2" s="1"/>
  <c r="J46" i="2"/>
  <c r="K46" i="2" s="1"/>
  <c r="J74" i="2"/>
  <c r="K74" i="2" s="1"/>
  <c r="J78" i="2"/>
  <c r="K78" i="2" s="1"/>
  <c r="J142" i="2"/>
  <c r="K142" i="2" s="1"/>
  <c r="J199" i="2"/>
  <c r="K199" i="2" s="1"/>
  <c r="J209" i="2"/>
  <c r="K209" i="2" s="1"/>
  <c r="J30" i="2"/>
  <c r="K30" i="2" s="1"/>
  <c r="J58" i="2"/>
  <c r="K58" i="2" s="1"/>
  <c r="J62" i="2"/>
  <c r="K62" i="2" s="1"/>
  <c r="J87" i="2"/>
  <c r="K87" i="2" s="1"/>
  <c r="J193" i="2"/>
  <c r="K193" i="2" s="1"/>
  <c r="J47" i="2"/>
  <c r="K47" i="2" s="1"/>
  <c r="J63" i="2"/>
  <c r="K63" i="2" s="1"/>
  <c r="J79" i="2"/>
  <c r="K79" i="2" s="1"/>
  <c r="J110" i="2"/>
  <c r="K110" i="2" s="1"/>
  <c r="J114" i="2"/>
  <c r="K114" i="2" s="1"/>
  <c r="J135" i="2"/>
  <c r="K135" i="2" s="1"/>
  <c r="J137" i="2"/>
  <c r="K137" i="2" s="1"/>
  <c r="J146" i="2"/>
  <c r="K146" i="2" s="1"/>
  <c r="J155" i="2"/>
  <c r="K155" i="2" s="1"/>
  <c r="J157" i="2"/>
  <c r="K157" i="2" s="1"/>
  <c r="J161" i="2"/>
  <c r="K161" i="2" s="1"/>
  <c r="J196" i="2"/>
  <c r="K196" i="2" s="1"/>
  <c r="J203" i="2"/>
  <c r="K203" i="2" s="1"/>
  <c r="J15" i="2"/>
  <c r="K15" i="2" s="1"/>
  <c r="J34" i="2"/>
  <c r="K34" i="2" s="1"/>
  <c r="J38" i="2"/>
  <c r="K38" i="2" s="1"/>
  <c r="J50" i="2"/>
  <c r="K50" i="2" s="1"/>
  <c r="J54" i="2"/>
  <c r="K54" i="2" s="1"/>
  <c r="J66" i="2"/>
  <c r="K66" i="2" s="1"/>
  <c r="J70" i="2"/>
  <c r="K70" i="2" s="1"/>
  <c r="J143" i="2"/>
  <c r="K143" i="2" s="1"/>
  <c r="J172" i="2"/>
  <c r="K172" i="2" s="1"/>
  <c r="J111" i="2"/>
  <c r="K111" i="2" s="1"/>
  <c r="J125" i="2"/>
  <c r="K125" i="2" s="1"/>
  <c r="J131" i="2"/>
  <c r="K131" i="2" s="1"/>
  <c r="J112" i="2"/>
  <c r="K112" i="2" s="1"/>
  <c r="J132" i="2"/>
  <c r="K132" i="2" s="1"/>
  <c r="J140" i="2"/>
  <c r="K140" i="2" s="1"/>
  <c r="J167" i="2"/>
  <c r="K167" i="2" s="1"/>
  <c r="J174" i="2"/>
  <c r="K174" i="2" s="1"/>
  <c r="J187" i="2"/>
  <c r="K187" i="2" s="1"/>
  <c r="J191" i="2"/>
  <c r="K191" i="2" s="1"/>
  <c r="J195" i="2"/>
  <c r="K195" i="2" s="1"/>
  <c r="J201" i="2"/>
  <c r="K201" i="2" s="1"/>
  <c r="J217" i="2"/>
  <c r="K217" i="2" s="1"/>
  <c r="J19" i="2"/>
  <c r="K19" i="2" s="1"/>
  <c r="J91" i="2"/>
  <c r="K91" i="2" s="1"/>
  <c r="J94" i="2"/>
  <c r="K94" i="2" s="1"/>
  <c r="J95" i="2"/>
  <c r="K95" i="2" s="1"/>
  <c r="J123" i="2"/>
  <c r="K123" i="2" s="1"/>
  <c r="J128" i="2"/>
  <c r="K128" i="2" s="1"/>
  <c r="J160" i="2"/>
  <c r="K160" i="2" s="1"/>
  <c r="J164" i="2"/>
  <c r="K164" i="2" s="1"/>
  <c r="J2" i="2"/>
  <c r="K2" i="2" s="1"/>
  <c r="J6" i="2"/>
  <c r="K6" i="2" s="1"/>
  <c r="J10" i="2"/>
  <c r="K10" i="2" s="1"/>
  <c r="J22" i="2"/>
  <c r="K22" i="2" s="1"/>
  <c r="J25" i="2"/>
  <c r="J33" i="2"/>
  <c r="K33" i="2" s="1"/>
  <c r="J41" i="2"/>
  <c r="K41" i="2" s="1"/>
  <c r="J49" i="2"/>
  <c r="K49" i="2" s="1"/>
  <c r="J57" i="2"/>
  <c r="K57" i="2" s="1"/>
  <c r="J65" i="2"/>
  <c r="K65" i="2" s="1"/>
  <c r="J73" i="2"/>
  <c r="K73" i="2" s="1"/>
  <c r="J84" i="2"/>
  <c r="K84" i="2" s="1"/>
  <c r="J86" i="2"/>
  <c r="K86" i="2" s="1"/>
  <c r="J89" i="2"/>
  <c r="K89" i="2" s="1"/>
  <c r="J104" i="2"/>
  <c r="K104" i="2" s="1"/>
  <c r="J129" i="2"/>
  <c r="K129" i="2" s="1"/>
  <c r="J151" i="2"/>
  <c r="K151" i="2" s="1"/>
  <c r="J171" i="2"/>
  <c r="K171" i="2" s="1"/>
  <c r="J175" i="2"/>
  <c r="K175" i="2" s="1"/>
  <c r="J178" i="2"/>
  <c r="K178" i="2" s="1"/>
  <c r="J205" i="2"/>
  <c r="K205" i="2" s="1"/>
  <c r="J207" i="2"/>
  <c r="K207" i="2" s="1"/>
  <c r="J4" i="2"/>
  <c r="K4" i="2" s="1"/>
  <c r="J8" i="2"/>
  <c r="K8" i="2" s="1"/>
  <c r="J11" i="2"/>
  <c r="K11" i="2" s="1"/>
  <c r="J13" i="2"/>
  <c r="K13" i="2" s="1"/>
  <c r="J18" i="2"/>
  <c r="K18" i="2" s="1"/>
  <c r="J27" i="2"/>
  <c r="K27" i="2" s="1"/>
  <c r="J29" i="2"/>
  <c r="K29" i="2" s="1"/>
  <c r="J35" i="2"/>
  <c r="K35" i="2" s="1"/>
  <c r="J37" i="2"/>
  <c r="K37" i="2" s="1"/>
  <c r="J43" i="2"/>
  <c r="K43" i="2" s="1"/>
  <c r="J45" i="2"/>
  <c r="K45" i="2" s="1"/>
  <c r="J51" i="2"/>
  <c r="K51" i="2" s="1"/>
  <c r="J53" i="2"/>
  <c r="K53" i="2" s="1"/>
  <c r="J59" i="2"/>
  <c r="K59" i="2" s="1"/>
  <c r="J61" i="2"/>
  <c r="K61" i="2" s="1"/>
  <c r="J67" i="2"/>
  <c r="K67" i="2" s="1"/>
  <c r="J69" i="2"/>
  <c r="K69" i="2" s="1"/>
  <c r="J75" i="2"/>
  <c r="K75" i="2" s="1"/>
  <c r="J77" i="2"/>
  <c r="K77" i="2" s="1"/>
  <c r="J88" i="2"/>
  <c r="K88" i="2" s="1"/>
  <c r="J93" i="2"/>
  <c r="K93" i="2" s="1"/>
  <c r="J98" i="2"/>
  <c r="K98" i="2" s="1"/>
  <c r="J100" i="2"/>
  <c r="K100" i="2" s="1"/>
  <c r="J102" i="2"/>
  <c r="K102" i="2" s="1"/>
  <c r="J106" i="2"/>
  <c r="K106" i="2" s="1"/>
  <c r="J109" i="2"/>
  <c r="K109" i="2" s="1"/>
  <c r="J113" i="2"/>
  <c r="K113" i="2" s="1"/>
  <c r="J116" i="2"/>
  <c r="K116" i="2" s="1"/>
  <c r="J119" i="2"/>
  <c r="K119" i="2" s="1"/>
  <c r="J121" i="2"/>
  <c r="K121" i="2" s="1"/>
  <c r="J124" i="2"/>
  <c r="K124" i="2" s="1"/>
  <c r="J126" i="2"/>
  <c r="K126" i="2" s="1"/>
  <c r="J130" i="2"/>
  <c r="K130" i="2" s="1"/>
  <c r="J139" i="2"/>
  <c r="K139" i="2" s="1"/>
  <c r="J144" i="2"/>
  <c r="K144" i="2" s="1"/>
  <c r="J147" i="2"/>
  <c r="K147" i="2" s="1"/>
  <c r="J159" i="2"/>
  <c r="K159" i="2" s="1"/>
  <c r="J173" i="2"/>
  <c r="K173" i="2" s="1"/>
  <c r="J177" i="2"/>
  <c r="K177" i="2" s="1"/>
  <c r="J180" i="2"/>
  <c r="K180" i="2" s="1"/>
  <c r="J183" i="2"/>
  <c r="K183" i="2" s="1"/>
  <c r="J185" i="2"/>
  <c r="K185" i="2" s="1"/>
  <c r="J188" i="2"/>
  <c r="K188" i="2" s="1"/>
  <c r="J190" i="2"/>
  <c r="K190" i="2" s="1"/>
  <c r="J212" i="2"/>
  <c r="K212" i="2" s="1"/>
  <c r="J213" i="2"/>
  <c r="K213" i="2" s="1"/>
  <c r="J215" i="2"/>
  <c r="K215" i="2" s="1"/>
  <c r="J216" i="2"/>
  <c r="K216" i="2" s="1"/>
  <c r="J5" i="2"/>
  <c r="K5" i="2" s="1"/>
  <c r="J9" i="2"/>
  <c r="K9" i="2" s="1"/>
  <c r="J21" i="2"/>
  <c r="K21" i="2" s="1"/>
  <c r="J26" i="2"/>
  <c r="K26" i="2" s="1"/>
  <c r="J92" i="2"/>
  <c r="K92" i="2" s="1"/>
  <c r="J103" i="2"/>
  <c r="K103" i="2" s="1"/>
  <c r="J105" i="2"/>
  <c r="K105" i="2" s="1"/>
  <c r="J108" i="2"/>
  <c r="K108" i="2" s="1"/>
  <c r="J115" i="2"/>
  <c r="K115" i="2" s="1"/>
  <c r="J127" i="2"/>
  <c r="K127" i="2" s="1"/>
  <c r="J141" i="2"/>
  <c r="K141" i="2" s="1"/>
  <c r="J145" i="2"/>
  <c r="K145" i="2" s="1"/>
  <c r="J148" i="2"/>
  <c r="K148" i="2" s="1"/>
  <c r="J158" i="2"/>
  <c r="K158" i="2" s="1"/>
  <c r="J162" i="2"/>
  <c r="K162" i="2" s="1"/>
  <c r="J179" i="2"/>
  <c r="K179" i="2" s="1"/>
  <c r="J194" i="2"/>
  <c r="K194" i="2" s="1"/>
  <c r="J197" i="2"/>
  <c r="K197" i="2" s="1"/>
  <c r="J200" i="2"/>
  <c r="K200" i="2" s="1"/>
  <c r="J210" i="2"/>
  <c r="K210" i="2" s="1"/>
  <c r="J211" i="2"/>
  <c r="K211" i="2" s="1"/>
  <c r="J83" i="2"/>
  <c r="K83" i="2" s="1"/>
  <c r="J99" i="2"/>
  <c r="K99" i="2" s="1"/>
  <c r="J3" i="2"/>
  <c r="K3" i="2" s="1"/>
  <c r="J7" i="2"/>
  <c r="K7" i="2" s="1"/>
  <c r="J12" i="2"/>
  <c r="K12" i="2" s="1"/>
  <c r="J20" i="2"/>
  <c r="K20" i="2" s="1"/>
  <c r="J28" i="2"/>
  <c r="K28" i="2" s="1"/>
  <c r="J36" i="2"/>
  <c r="K36" i="2" s="1"/>
  <c r="J44" i="2"/>
  <c r="K44" i="2" s="1"/>
  <c r="J52" i="2"/>
  <c r="K52" i="2" s="1"/>
  <c r="J60" i="2"/>
  <c r="K60" i="2" s="1"/>
  <c r="J68" i="2"/>
  <c r="K68" i="2" s="1"/>
  <c r="J76" i="2"/>
  <c r="K76" i="2" s="1"/>
  <c r="J16" i="2"/>
  <c r="K16" i="2" s="1"/>
  <c r="J24" i="2"/>
  <c r="K24" i="2" s="1"/>
  <c r="J40" i="2"/>
  <c r="K40" i="2" s="1"/>
  <c r="J48" i="2"/>
  <c r="K48" i="2" s="1"/>
  <c r="J56" i="2"/>
  <c r="K56" i="2" s="1"/>
  <c r="J64" i="2"/>
  <c r="K64" i="2" s="1"/>
  <c r="J72" i="2"/>
  <c r="K72" i="2" s="1"/>
  <c r="J80" i="2"/>
  <c r="K80" i="2" s="1"/>
  <c r="J85" i="2"/>
  <c r="K85" i="2" s="1"/>
  <c r="J96" i="2"/>
  <c r="K96" i="2" s="1"/>
  <c r="J101" i="2"/>
  <c r="K101" i="2" s="1"/>
  <c r="J153" i="2"/>
  <c r="K153" i="2" s="1"/>
  <c r="J189" i="2"/>
  <c r="K189" i="2" s="1"/>
  <c r="J220" i="2"/>
  <c r="K220" i="2" s="1"/>
  <c r="J81" i="2"/>
  <c r="K81" i="2" s="1"/>
  <c r="J97" i="2"/>
  <c r="K97" i="2" s="1"/>
  <c r="J117" i="2"/>
  <c r="K117" i="2" s="1"/>
  <c r="J120" i="2"/>
  <c r="K120" i="2" s="1"/>
  <c r="J122" i="2"/>
  <c r="K122" i="2" s="1"/>
  <c r="J133" i="2"/>
  <c r="K133" i="2" s="1"/>
  <c r="J136" i="2"/>
  <c r="K136" i="2" s="1"/>
  <c r="J138" i="2"/>
  <c r="K138" i="2" s="1"/>
  <c r="J149" i="2"/>
  <c r="K149" i="2" s="1"/>
  <c r="J152" i="2"/>
  <c r="K152" i="2" s="1"/>
  <c r="J154" i="2"/>
  <c r="K154" i="2" s="1"/>
  <c r="J165" i="2"/>
  <c r="K165" i="2" s="1"/>
  <c r="J168" i="2"/>
  <c r="K168" i="2" s="1"/>
  <c r="J170" i="2"/>
  <c r="K170" i="2" s="1"/>
  <c r="J181" i="2"/>
  <c r="K181" i="2" s="1"/>
  <c r="J184" i="2"/>
  <c r="K184" i="2" s="1"/>
  <c r="J186" i="2"/>
  <c r="K186" i="2" s="1"/>
  <c r="J202" i="2"/>
  <c r="K202" i="2" s="1"/>
  <c r="J206" i="2"/>
  <c r="K206" i="2" s="1"/>
  <c r="J204" i="2"/>
  <c r="K204" i="2" s="1"/>
  <c r="J118" i="2"/>
  <c r="K118" i="2" s="1"/>
  <c r="J134" i="2"/>
  <c r="K134" i="2" s="1"/>
  <c r="J150" i="2"/>
  <c r="K150" i="2" s="1"/>
  <c r="J166" i="2"/>
  <c r="K166" i="2" s="1"/>
  <c r="J182" i="2"/>
  <c r="K182" i="2" s="1"/>
  <c r="J218" i="2"/>
  <c r="K218" i="2" s="1"/>
  <c r="J221" i="2" l="1"/>
  <c r="K221" i="2" s="1"/>
  <c r="J31" i="2"/>
  <c r="K31" i="2" s="1"/>
  <c r="J214" i="2"/>
  <c r="K214" i="2" s="1"/>
  <c r="J198" i="2"/>
  <c r="K198" i="2" s="1"/>
  <c r="D5" i="1"/>
  <c r="C5" i="1"/>
</calcChain>
</file>

<file path=xl/sharedStrings.xml><?xml version="1.0" encoding="utf-8"?>
<sst xmlns="http://schemas.openxmlformats.org/spreadsheetml/2006/main" count="2241" uniqueCount="509">
  <si>
    <t>Multi-Platform Delivery Sales Reconciliation &amp; Performance Analytics</t>
  </si>
  <si>
    <t>NOTE: This workbook contains synthetic sample data for methodology demonstration purposes.</t>
  </si>
  <si>
    <t>Total POS Net Sales</t>
  </si>
  <si>
    <t>Total Expected Payout</t>
  </si>
  <si>
    <t>Total Discrepancy</t>
  </si>
  <si>
    <t>Matched Orders Rate</t>
  </si>
  <si>
    <t>Platform Performance Summary</t>
  </si>
  <si>
    <t>Platform Name</t>
  </si>
  <si>
    <t>Total Orders</t>
  </si>
  <si>
    <t>POS Net Sales (SAR)</t>
  </si>
  <si>
    <t>Avg Order Value (SAR)</t>
  </si>
  <si>
    <t>Jahez</t>
  </si>
  <si>
    <t>Hungerstation</t>
  </si>
  <si>
    <t>ToYou</t>
  </si>
  <si>
    <t>Ninja</t>
  </si>
  <si>
    <t>Chefz</t>
  </si>
  <si>
    <t>POS Order ID</t>
  </si>
  <si>
    <t>Platform Ref ID</t>
  </si>
  <si>
    <t>Order Date</t>
  </si>
  <si>
    <t>Platform</t>
  </si>
  <si>
    <t>Platform Net Payout (SAR)</t>
  </si>
  <si>
    <t>Discrepancy (SAR)</t>
  </si>
  <si>
    <t>Reconciliation Status</t>
  </si>
  <si>
    <t>Audit Notes</t>
  </si>
  <si>
    <t>POS_Order_ID</t>
  </si>
  <si>
    <t>Platform_Reference_ID</t>
  </si>
  <si>
    <t>Order_Date</t>
  </si>
  <si>
    <t>Platform_Name</t>
  </si>
  <si>
    <t>Gross_Amount_SAR</t>
  </si>
  <si>
    <t>Discount_SAR</t>
  </si>
  <si>
    <t>Net_Sales_SAR</t>
  </si>
  <si>
    <t>POS_Status</t>
  </si>
  <si>
    <t>POS-1000</t>
  </si>
  <si>
    <t>REF-80000</t>
  </si>
  <si>
    <t>2026-08-01</t>
  </si>
  <si>
    <t>Completed</t>
  </si>
  <si>
    <t>POS-1001</t>
  </si>
  <si>
    <t>REF-80001</t>
  </si>
  <si>
    <t>POS-1002</t>
  </si>
  <si>
    <t>REF-80002</t>
  </si>
  <si>
    <t>POS-1003</t>
  </si>
  <si>
    <t>REF-80003</t>
  </si>
  <si>
    <t>POS-1004</t>
  </si>
  <si>
    <t>REF-80004</t>
  </si>
  <si>
    <t>POS-1005</t>
  </si>
  <si>
    <t>REF-80005</t>
  </si>
  <si>
    <t>POS-1006</t>
  </si>
  <si>
    <t>REF-80006</t>
  </si>
  <si>
    <t>POS-1007</t>
  </si>
  <si>
    <t>REF-80007</t>
  </si>
  <si>
    <t>POS-1008</t>
  </si>
  <si>
    <t>REF-80008</t>
  </si>
  <si>
    <t>POS-1009</t>
  </si>
  <si>
    <t>REF-80009</t>
  </si>
  <si>
    <t>POS-1010</t>
  </si>
  <si>
    <t>REF-80010</t>
  </si>
  <si>
    <t>POS-1011</t>
  </si>
  <si>
    <t>REF-80011</t>
  </si>
  <si>
    <t>POS-1012</t>
  </si>
  <si>
    <t>REF-80012</t>
  </si>
  <si>
    <t>POS-1013</t>
  </si>
  <si>
    <t>REF-80013</t>
  </si>
  <si>
    <t>POS-1014</t>
  </si>
  <si>
    <t>REF-80014</t>
  </si>
  <si>
    <t>POS-1015</t>
  </si>
  <si>
    <t>REF-80015</t>
  </si>
  <si>
    <t>POS-1016</t>
  </si>
  <si>
    <t>REF-80016</t>
  </si>
  <si>
    <t>2026-08-02</t>
  </si>
  <si>
    <t>POS-1017</t>
  </si>
  <si>
    <t>REF-80017</t>
  </si>
  <si>
    <t>POS-1018</t>
  </si>
  <si>
    <t>REF-80018</t>
  </si>
  <si>
    <t>POS-1019</t>
  </si>
  <si>
    <t>REF-80019</t>
  </si>
  <si>
    <t>POS-1020</t>
  </si>
  <si>
    <t>REF-80020</t>
  </si>
  <si>
    <t>POS-1021</t>
  </si>
  <si>
    <t>REF-80021</t>
  </si>
  <si>
    <t>POS-1022</t>
  </si>
  <si>
    <t>REF-80022</t>
  </si>
  <si>
    <t>POS-1023</t>
  </si>
  <si>
    <t>REF-80023</t>
  </si>
  <si>
    <t>POS-1024</t>
  </si>
  <si>
    <t>REF-80024</t>
  </si>
  <si>
    <t>POS-1025</t>
  </si>
  <si>
    <t>REF-80025</t>
  </si>
  <si>
    <t>POS-1026</t>
  </si>
  <si>
    <t>REF-80026</t>
  </si>
  <si>
    <t>POS-1027</t>
  </si>
  <si>
    <t>REF-80027</t>
  </si>
  <si>
    <t>POS-1028</t>
  </si>
  <si>
    <t>REF-80028</t>
  </si>
  <si>
    <t>POS-1029</t>
  </si>
  <si>
    <t>REF-80029</t>
  </si>
  <si>
    <t>POS-1030</t>
  </si>
  <si>
    <t>REF-80030</t>
  </si>
  <si>
    <t>POS-1031</t>
  </si>
  <si>
    <t>REF-80031</t>
  </si>
  <si>
    <t>POS-1032</t>
  </si>
  <si>
    <t>REF-80032</t>
  </si>
  <si>
    <t>2026-08-03</t>
  </si>
  <si>
    <t>POS-1033</t>
  </si>
  <si>
    <t>REF-80033</t>
  </si>
  <si>
    <t>POS-1034</t>
  </si>
  <si>
    <t>REF-80034</t>
  </si>
  <si>
    <t>POS-1035</t>
  </si>
  <si>
    <t>REF-80035</t>
  </si>
  <si>
    <t>POS-1036</t>
  </si>
  <si>
    <t>REF-80036</t>
  </si>
  <si>
    <t>POS-1037</t>
  </si>
  <si>
    <t>REF-80037</t>
  </si>
  <si>
    <t>POS-1038</t>
  </si>
  <si>
    <t>REF-80038</t>
  </si>
  <si>
    <t>POS-1039</t>
  </si>
  <si>
    <t>REF-80039</t>
  </si>
  <si>
    <t>POS-1040</t>
  </si>
  <si>
    <t>REF-80040</t>
  </si>
  <si>
    <t>POS-1041</t>
  </si>
  <si>
    <t>REF-80041</t>
  </si>
  <si>
    <t>POS-1042</t>
  </si>
  <si>
    <t>REF-80042</t>
  </si>
  <si>
    <t>POS-1043</t>
  </si>
  <si>
    <t>REF-80043</t>
  </si>
  <si>
    <t>POS-1044</t>
  </si>
  <si>
    <t>REF-80044</t>
  </si>
  <si>
    <t>POS-1045</t>
  </si>
  <si>
    <t>REF-80045</t>
  </si>
  <si>
    <t>POS-1046</t>
  </si>
  <si>
    <t>REF-80046</t>
  </si>
  <si>
    <t>POS-1047</t>
  </si>
  <si>
    <t>REF-80047</t>
  </si>
  <si>
    <t>2026-08-04</t>
  </si>
  <si>
    <t>POS-1048</t>
  </si>
  <si>
    <t>REF-80048</t>
  </si>
  <si>
    <t>POS-1049</t>
  </si>
  <si>
    <t>REF-80049</t>
  </si>
  <si>
    <t>POS-1050</t>
  </si>
  <si>
    <t>REF-80050</t>
  </si>
  <si>
    <t>POS-1051</t>
  </si>
  <si>
    <t>REF-80051</t>
  </si>
  <si>
    <t>POS-1052</t>
  </si>
  <si>
    <t>REF-80052</t>
  </si>
  <si>
    <t>POS-1053</t>
  </si>
  <si>
    <t>REF-80053</t>
  </si>
  <si>
    <t>POS-1054</t>
  </si>
  <si>
    <t>REF-80054</t>
  </si>
  <si>
    <t>POS-1055</t>
  </si>
  <si>
    <t>REF-80055</t>
  </si>
  <si>
    <t>POS-1056</t>
  </si>
  <si>
    <t>REF-80056</t>
  </si>
  <si>
    <t>POS-1057</t>
  </si>
  <si>
    <t>REF-80057</t>
  </si>
  <si>
    <t>POS-1058</t>
  </si>
  <si>
    <t>REF-80058</t>
  </si>
  <si>
    <t>POS-1059</t>
  </si>
  <si>
    <t>REF-80059</t>
  </si>
  <si>
    <t>POS-1060</t>
  </si>
  <si>
    <t>REF-80060</t>
  </si>
  <si>
    <t>POS-1061</t>
  </si>
  <si>
    <t>REF-80061</t>
  </si>
  <si>
    <t>POS-1062</t>
  </si>
  <si>
    <t>REF-80062</t>
  </si>
  <si>
    <t>POS-1063</t>
  </si>
  <si>
    <t>REF-80063</t>
  </si>
  <si>
    <t>2026-08-05</t>
  </si>
  <si>
    <t>POS-1064</t>
  </si>
  <si>
    <t>REF-80064</t>
  </si>
  <si>
    <t>POS-1065</t>
  </si>
  <si>
    <t>REF-80065</t>
  </si>
  <si>
    <t>POS-1066</t>
  </si>
  <si>
    <t>REF-80066</t>
  </si>
  <si>
    <t>POS-1067</t>
  </si>
  <si>
    <t>REF-80067</t>
  </si>
  <si>
    <t>POS-1068</t>
  </si>
  <si>
    <t>REF-80068</t>
  </si>
  <si>
    <t>POS-1069</t>
  </si>
  <si>
    <t>REF-80069</t>
  </si>
  <si>
    <t>POS-1070</t>
  </si>
  <si>
    <t>REF-80070</t>
  </si>
  <si>
    <t>POS-1071</t>
  </si>
  <si>
    <t>REF-80071</t>
  </si>
  <si>
    <t>POS-1072</t>
  </si>
  <si>
    <t>REF-80072</t>
  </si>
  <si>
    <t>POS-1073</t>
  </si>
  <si>
    <t>REF-80073</t>
  </si>
  <si>
    <t>POS-1074</t>
  </si>
  <si>
    <t>REF-80074</t>
  </si>
  <si>
    <t>POS-1075</t>
  </si>
  <si>
    <t>REF-80075</t>
  </si>
  <si>
    <t>POS-1076</t>
  </si>
  <si>
    <t>REF-80076</t>
  </si>
  <si>
    <t>POS-1077</t>
  </si>
  <si>
    <t>REF-80077</t>
  </si>
  <si>
    <t>POS-1078</t>
  </si>
  <si>
    <t>REF-80078</t>
  </si>
  <si>
    <t>POS-1079</t>
  </si>
  <si>
    <t>REF-80079</t>
  </si>
  <si>
    <t>2026-08-06</t>
  </si>
  <si>
    <t>POS-1080</t>
  </si>
  <si>
    <t>REF-80080</t>
  </si>
  <si>
    <t>POS-1081</t>
  </si>
  <si>
    <t>REF-80081</t>
  </si>
  <si>
    <t>POS-1082</t>
  </si>
  <si>
    <t>REF-80082</t>
  </si>
  <si>
    <t>POS-1083</t>
  </si>
  <si>
    <t>REF-80083</t>
  </si>
  <si>
    <t>POS-1084</t>
  </si>
  <si>
    <t>REF-80084</t>
  </si>
  <si>
    <t>POS-1085</t>
  </si>
  <si>
    <t>REF-80085</t>
  </si>
  <si>
    <t>POS-1086</t>
  </si>
  <si>
    <t>REF-80086</t>
  </si>
  <si>
    <t>POS-1087</t>
  </si>
  <si>
    <t>REF-80087</t>
  </si>
  <si>
    <t>POS-1088</t>
  </si>
  <si>
    <t>REF-80088</t>
  </si>
  <si>
    <t>POS-1089</t>
  </si>
  <si>
    <t>REF-80089</t>
  </si>
  <si>
    <t>POS-1090</t>
  </si>
  <si>
    <t>REF-80090</t>
  </si>
  <si>
    <t>POS-1091</t>
  </si>
  <si>
    <t>REF-80091</t>
  </si>
  <si>
    <t>POS-1092</t>
  </si>
  <si>
    <t>REF-80092</t>
  </si>
  <si>
    <t>POS-1093</t>
  </si>
  <si>
    <t>REF-80093</t>
  </si>
  <si>
    <t>POS-1094</t>
  </si>
  <si>
    <t>REF-80094</t>
  </si>
  <si>
    <t>2026-08-07</t>
  </si>
  <si>
    <t>POS-1095</t>
  </si>
  <si>
    <t>REF-80095</t>
  </si>
  <si>
    <t>POS-1096</t>
  </si>
  <si>
    <t>REF-80096</t>
  </si>
  <si>
    <t>POS-1097</t>
  </si>
  <si>
    <t>REF-80097</t>
  </si>
  <si>
    <t>POS-1098</t>
  </si>
  <si>
    <t>REF-80098</t>
  </si>
  <si>
    <t>POS-1099</t>
  </si>
  <si>
    <t>REF-80099</t>
  </si>
  <si>
    <t>POS-1100</t>
  </si>
  <si>
    <t>REF-80100</t>
  </si>
  <si>
    <t>POS-1101</t>
  </si>
  <si>
    <t>REF-80101</t>
  </si>
  <si>
    <t>POS-1102</t>
  </si>
  <si>
    <t>REF-80102</t>
  </si>
  <si>
    <t>POS-1103</t>
  </si>
  <si>
    <t>REF-80103</t>
  </si>
  <si>
    <t>POS-1104</t>
  </si>
  <si>
    <t>REF-80104</t>
  </si>
  <si>
    <t>POS-1105</t>
  </si>
  <si>
    <t>REF-80105</t>
  </si>
  <si>
    <t>POS-1106</t>
  </si>
  <si>
    <t>REF-80106</t>
  </si>
  <si>
    <t>POS-1107</t>
  </si>
  <si>
    <t>REF-80107</t>
  </si>
  <si>
    <t>POS-1108</t>
  </si>
  <si>
    <t>REF-80108</t>
  </si>
  <si>
    <t>POS-1109</t>
  </si>
  <si>
    <t>REF-80109</t>
  </si>
  <si>
    <t>POS-1110</t>
  </si>
  <si>
    <t>REF-80110</t>
  </si>
  <si>
    <t>2026-08-08</t>
  </si>
  <si>
    <t>POS-1111</t>
  </si>
  <si>
    <t>REF-80111</t>
  </si>
  <si>
    <t>POS-1112</t>
  </si>
  <si>
    <t>REF-80112</t>
  </si>
  <si>
    <t>POS-1113</t>
  </si>
  <si>
    <t>REF-80113</t>
  </si>
  <si>
    <t>POS-1114</t>
  </si>
  <si>
    <t>REF-80114</t>
  </si>
  <si>
    <t>POS-1115</t>
  </si>
  <si>
    <t>REF-80115</t>
  </si>
  <si>
    <t>POS-1116</t>
  </si>
  <si>
    <t>REF-80116</t>
  </si>
  <si>
    <t>POS-1117</t>
  </si>
  <si>
    <t>REF-80117</t>
  </si>
  <si>
    <t>POS-1118</t>
  </si>
  <si>
    <t>REF-80118</t>
  </si>
  <si>
    <t>POS-1119</t>
  </si>
  <si>
    <t>REF-80119</t>
  </si>
  <si>
    <t>POS-1120</t>
  </si>
  <si>
    <t>REF-80120</t>
  </si>
  <si>
    <t>POS-1121</t>
  </si>
  <si>
    <t>REF-80121</t>
  </si>
  <si>
    <t>POS-1122</t>
  </si>
  <si>
    <t>REF-80122</t>
  </si>
  <si>
    <t>POS-1123</t>
  </si>
  <si>
    <t>REF-80123</t>
  </si>
  <si>
    <t>POS-1124</t>
  </si>
  <si>
    <t>REF-80124</t>
  </si>
  <si>
    <t>POS-1125</t>
  </si>
  <si>
    <t>REF-80125</t>
  </si>
  <si>
    <t>POS-1126</t>
  </si>
  <si>
    <t>REF-80126</t>
  </si>
  <si>
    <t>2026-08-09</t>
  </si>
  <si>
    <t>POS-1127</t>
  </si>
  <si>
    <t>REF-80127</t>
  </si>
  <si>
    <t>POS-1128</t>
  </si>
  <si>
    <t>REF-80128</t>
  </si>
  <si>
    <t>POS-1129</t>
  </si>
  <si>
    <t>REF-80129</t>
  </si>
  <si>
    <t>POS-1130</t>
  </si>
  <si>
    <t>REF-80130</t>
  </si>
  <si>
    <t>POS-1131</t>
  </si>
  <si>
    <t>REF-80131</t>
  </si>
  <si>
    <t>POS-1132</t>
  </si>
  <si>
    <t>REF-80132</t>
  </si>
  <si>
    <t>POS-1133</t>
  </si>
  <si>
    <t>REF-80133</t>
  </si>
  <si>
    <t>POS-1134</t>
  </si>
  <si>
    <t>REF-80134</t>
  </si>
  <si>
    <t>POS-1135</t>
  </si>
  <si>
    <t>REF-80135</t>
  </si>
  <si>
    <t>POS-1136</t>
  </si>
  <si>
    <t>REF-80136</t>
  </si>
  <si>
    <t>POS-1137</t>
  </si>
  <si>
    <t>REF-80137</t>
  </si>
  <si>
    <t>POS-1138</t>
  </si>
  <si>
    <t>REF-80138</t>
  </si>
  <si>
    <t>POS-1139</t>
  </si>
  <si>
    <t>REF-80139</t>
  </si>
  <si>
    <t>POS-1140</t>
  </si>
  <si>
    <t>REF-80140</t>
  </si>
  <si>
    <t>POS-1141</t>
  </si>
  <si>
    <t>REF-80141</t>
  </si>
  <si>
    <t>2026-08-10</t>
  </si>
  <si>
    <t>POS-1142</t>
  </si>
  <si>
    <t>REF-80142</t>
  </si>
  <si>
    <t>POS-1143</t>
  </si>
  <si>
    <t>REF-80143</t>
  </si>
  <si>
    <t>POS-1144</t>
  </si>
  <si>
    <t>REF-80144</t>
  </si>
  <si>
    <t>POS-1145</t>
  </si>
  <si>
    <t>REF-80145</t>
  </si>
  <si>
    <t>POS-1146</t>
  </si>
  <si>
    <t>REF-80146</t>
  </si>
  <si>
    <t>POS-1147</t>
  </si>
  <si>
    <t>REF-80147</t>
  </si>
  <si>
    <t>POS-1148</t>
  </si>
  <si>
    <t>REF-80148</t>
  </si>
  <si>
    <t>POS-1149</t>
  </si>
  <si>
    <t>REF-80149</t>
  </si>
  <si>
    <t>POS-1150</t>
  </si>
  <si>
    <t>REF-80150</t>
  </si>
  <si>
    <t>POS-1151</t>
  </si>
  <si>
    <t>REF-80151</t>
  </si>
  <si>
    <t>POS-1152</t>
  </si>
  <si>
    <t>REF-80152</t>
  </si>
  <si>
    <t>POS-1153</t>
  </si>
  <si>
    <t>REF-80153</t>
  </si>
  <si>
    <t>POS-1154</t>
  </si>
  <si>
    <t>REF-80154</t>
  </si>
  <si>
    <t>POS-1155</t>
  </si>
  <si>
    <t>REF-80155</t>
  </si>
  <si>
    <t>POS-1156</t>
  </si>
  <si>
    <t>REF-80156</t>
  </si>
  <si>
    <t>POS-1157</t>
  </si>
  <si>
    <t>REF-80157</t>
  </si>
  <si>
    <t>2026-08-11</t>
  </si>
  <si>
    <t>POS-1158</t>
  </si>
  <si>
    <t>REF-80158</t>
  </si>
  <si>
    <t>POS-1159</t>
  </si>
  <si>
    <t>REF-80159</t>
  </si>
  <si>
    <t>POS-1160</t>
  </si>
  <si>
    <t>REF-80160</t>
  </si>
  <si>
    <t>POS-1161</t>
  </si>
  <si>
    <t>REF-80161</t>
  </si>
  <si>
    <t>POS-1162</t>
  </si>
  <si>
    <t>REF-80162</t>
  </si>
  <si>
    <t>POS-1163</t>
  </si>
  <si>
    <t>REF-80163</t>
  </si>
  <si>
    <t>POS-1164</t>
  </si>
  <si>
    <t>REF-80164</t>
  </si>
  <si>
    <t>POS-1165</t>
  </si>
  <si>
    <t>REF-80165</t>
  </si>
  <si>
    <t>POS-1166</t>
  </si>
  <si>
    <t>REF-80166</t>
  </si>
  <si>
    <t>POS-1167</t>
  </si>
  <si>
    <t>REF-80167</t>
  </si>
  <si>
    <t>POS-1168</t>
  </si>
  <si>
    <t>REF-80168</t>
  </si>
  <si>
    <t>POS-1169</t>
  </si>
  <si>
    <t>REF-80169</t>
  </si>
  <si>
    <t>POS-1170</t>
  </si>
  <si>
    <t>REF-80170</t>
  </si>
  <si>
    <t>POS-1171</t>
  </si>
  <si>
    <t>REF-80171</t>
  </si>
  <si>
    <t>POS-1172</t>
  </si>
  <si>
    <t>REF-80172</t>
  </si>
  <si>
    <t>POS-1173</t>
  </si>
  <si>
    <t>REF-80173</t>
  </si>
  <si>
    <t>2026-08-12</t>
  </si>
  <si>
    <t>POS-1174</t>
  </si>
  <si>
    <t>REF-80174</t>
  </si>
  <si>
    <t>POS-1175</t>
  </si>
  <si>
    <t>REF-80175</t>
  </si>
  <si>
    <t>POS-1176</t>
  </si>
  <si>
    <t>REF-80176</t>
  </si>
  <si>
    <t>POS-1177</t>
  </si>
  <si>
    <t>REF-80177</t>
  </si>
  <si>
    <t>POS-1178</t>
  </si>
  <si>
    <t>REF-80178</t>
  </si>
  <si>
    <t>POS-1179</t>
  </si>
  <si>
    <t>REF-80179</t>
  </si>
  <si>
    <t>POS-1180</t>
  </si>
  <si>
    <t>REF-80180</t>
  </si>
  <si>
    <t>POS-1181</t>
  </si>
  <si>
    <t>REF-80181</t>
  </si>
  <si>
    <t>POS-1182</t>
  </si>
  <si>
    <t>REF-80182</t>
  </si>
  <si>
    <t>POS-1183</t>
  </si>
  <si>
    <t>REF-80183</t>
  </si>
  <si>
    <t>POS-1184</t>
  </si>
  <si>
    <t>REF-80184</t>
  </si>
  <si>
    <t>POS-1185</t>
  </si>
  <si>
    <t>REF-80185</t>
  </si>
  <si>
    <t>POS-1186</t>
  </si>
  <si>
    <t>REF-80186</t>
  </si>
  <si>
    <t>POS-1187</t>
  </si>
  <si>
    <t>REF-80187</t>
  </si>
  <si>
    <t>POS-1188</t>
  </si>
  <si>
    <t>REF-80188</t>
  </si>
  <si>
    <t>2026-08-13</t>
  </si>
  <si>
    <t>POS-1189</t>
  </si>
  <si>
    <t>REF-80189</t>
  </si>
  <si>
    <t>POS-1190</t>
  </si>
  <si>
    <t>REF-80190</t>
  </si>
  <si>
    <t>POS-1191</t>
  </si>
  <si>
    <t>REF-80191</t>
  </si>
  <si>
    <t>POS-1192</t>
  </si>
  <si>
    <t>REF-80192</t>
  </si>
  <si>
    <t>POS-1193</t>
  </si>
  <si>
    <t>REF-80193</t>
  </si>
  <si>
    <t>POS-1194</t>
  </si>
  <si>
    <t>REF-80194</t>
  </si>
  <si>
    <t>POS-1195</t>
  </si>
  <si>
    <t>REF-80195</t>
  </si>
  <si>
    <t>POS-1196</t>
  </si>
  <si>
    <t>REF-80196</t>
  </si>
  <si>
    <t>POS-1197</t>
  </si>
  <si>
    <t>REF-80197</t>
  </si>
  <si>
    <t>POS-1198</t>
  </si>
  <si>
    <t>REF-80198</t>
  </si>
  <si>
    <t>POS-1199</t>
  </si>
  <si>
    <t>REF-80199</t>
  </si>
  <si>
    <t>POS-1200</t>
  </si>
  <si>
    <t>REF-80200</t>
  </si>
  <si>
    <t>POS-1201</t>
  </si>
  <si>
    <t>REF-80201</t>
  </si>
  <si>
    <t>POS-1202</t>
  </si>
  <si>
    <t>REF-80202</t>
  </si>
  <si>
    <t>POS-1203</t>
  </si>
  <si>
    <t>REF-80203</t>
  </si>
  <si>
    <t>POS-1204</t>
  </si>
  <si>
    <t>REF-80204</t>
  </si>
  <si>
    <t>2026-08-14</t>
  </si>
  <si>
    <t>POS-1205</t>
  </si>
  <si>
    <t>REF-80205</t>
  </si>
  <si>
    <t>POS-1206</t>
  </si>
  <si>
    <t>REF-80206</t>
  </si>
  <si>
    <t>POS-1207</t>
  </si>
  <si>
    <t>REF-80207</t>
  </si>
  <si>
    <t>POS-1208</t>
  </si>
  <si>
    <t>REF-80208</t>
  </si>
  <si>
    <t>POS-1209</t>
  </si>
  <si>
    <t>REF-80209</t>
  </si>
  <si>
    <t>POS-1210</t>
  </si>
  <si>
    <t>REF-80210</t>
  </si>
  <si>
    <t>POS-1211</t>
  </si>
  <si>
    <t>REF-80211</t>
  </si>
  <si>
    <t>POS-1212</t>
  </si>
  <si>
    <t>REF-80212</t>
  </si>
  <si>
    <t>POS-1213</t>
  </si>
  <si>
    <t>REF-80213</t>
  </si>
  <si>
    <t>POS-1214</t>
  </si>
  <si>
    <t>REF-80214</t>
  </si>
  <si>
    <t>POS-1215</t>
  </si>
  <si>
    <t>REF-80215</t>
  </si>
  <si>
    <t>POS-1216</t>
  </si>
  <si>
    <t>REF-80216</t>
  </si>
  <si>
    <t>POS-1217</t>
  </si>
  <si>
    <t>REF-80217</t>
  </si>
  <si>
    <t>POS-1218</t>
  </si>
  <si>
    <t>REF-80218</t>
  </si>
  <si>
    <t>POS-1219</t>
  </si>
  <si>
    <t>REF-80219</t>
  </si>
  <si>
    <t>2026-08-15</t>
  </si>
  <si>
    <t>Platform_Order_ID</t>
  </si>
  <si>
    <t>POS_Order_Ref</t>
  </si>
  <si>
    <t>Platform_Gross_SAR</t>
  </si>
  <si>
    <t>Commission_Fee_SAR</t>
  </si>
  <si>
    <t>VAT_15%_SAR</t>
  </si>
  <si>
    <t>Net_Payout_SAR</t>
  </si>
  <si>
    <t>Delivery_Status</t>
  </si>
  <si>
    <t>Delivered</t>
  </si>
  <si>
    <t>Parameter / Metric</t>
  </si>
  <si>
    <t>Rule &amp; Methodology Description</t>
  </si>
  <si>
    <t>Primary Join Key</t>
  </si>
  <si>
    <t>Platform_Reference_ID in POS matched against Platform_Order_ID in Delivery reports.</t>
  </si>
  <si>
    <t>Reconciliation Matching</t>
  </si>
  <si>
    <t>XLOOKUP match applied. Tolerance threshold set at ABS(Variance) &lt; 0.01 SAR.</t>
  </si>
  <si>
    <t>Commission Rates</t>
  </si>
  <si>
    <t>Jahez (18%), Hungerstation (20%), ToYou (15%), Ninja (12%), Chefz (22%).</t>
  </si>
  <si>
    <t>VAT Logic</t>
  </si>
  <si>
    <t>15% VAT applied exclusively to platform commission fees.</t>
  </si>
  <si>
    <t>Audit Flags</t>
  </si>
  <si>
    <t>'Missing in Platform' indicates uncollected sales; 'Amount Mismatch' flags payout discrepancies.</t>
  </si>
  <si>
    <t>Commission &amp; VAT Deducted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</si>
</sst>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SAR&quot;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b/>
      <sz val="10"/>
      <color rgb="FF8A6D3B"/>
      <name val="Segoe UI"/>
    </font>
    <font>
      <b/>
      <sz val="11"/>
      <name val="Segoe UI"/>
    </font>
    <font>
      <b/>
      <sz val="11"/>
      <color rgb="FFFFFFFF"/>
      <name val="Segoe UI"/>
    </font>
    <font>
      <sz val="11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-0.499984740745262"/>
        <bgColor rgb="FF1F4E7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CF8E3"/>
      </patternFill>
    </fill>
    <fill>
      <patternFill patternType="solid">
        <fgColor theme="0" tint="-0.14999847407452621"/>
        <bgColor rgb="FFF2F4F7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/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/>
      <right/>
      <top/>
      <bottom style="thin">
        <color theme="3" tint="0.39997558519241921"/>
      </bottom>
      <diagonal/>
    </border>
    <border>
      <left style="thin">
        <color indexed="64"/>
      </left>
      <right style="thin">
        <color theme="3" tint="0.39997558519241921"/>
      </right>
      <top/>
      <bottom style="thin">
        <color theme="3" tint="0.39997558519241921"/>
      </bottom>
      <diagonal/>
    </border>
    <border>
      <left/>
      <right style="thin">
        <color theme="3" tint="0.39997558519241921"/>
      </right>
      <top/>
      <bottom style="thin">
        <color theme="3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0" borderId="1" xfId="0" applyFont="1" applyBorder="1"/>
    <xf numFmtId="164" fontId="5" fillId="0" borderId="1" xfId="0" applyNumberFormat="1" applyFont="1" applyBorder="1"/>
    <xf numFmtId="0" fontId="4" fillId="2" borderId="0" xfId="0" applyFont="1" applyFill="1"/>
    <xf numFmtId="0" fontId="1" fillId="4" borderId="0" xfId="0" applyFont="1" applyFill="1"/>
    <xf numFmtId="0" fontId="0" fillId="4" borderId="0" xfId="0" applyFill="1"/>
    <xf numFmtId="0" fontId="2" fillId="5" borderId="0" xfId="0" applyFont="1" applyFill="1"/>
    <xf numFmtId="0" fontId="3" fillId="6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3" fillId="4" borderId="0" xfId="0" applyFont="1" applyFill="1"/>
    <xf numFmtId="164" fontId="5" fillId="4" borderId="3" xfId="0" applyNumberFormat="1" applyFont="1" applyFill="1" applyBorder="1" applyAlignment="1">
      <alignment horizontal="right" vertical="center"/>
    </xf>
    <xf numFmtId="3" fontId="5" fillId="4" borderId="3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3" fontId="5" fillId="4" borderId="6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Order Volume by Platform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Summary'!$B$8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'Executive Summary'!$A$9:$A$13</c:f>
              <c:strCache>
                <c:ptCount val="5"/>
                <c:pt idx="0">
                  <c:v>Ninja</c:v>
                </c:pt>
                <c:pt idx="1">
                  <c:v>Jahez</c:v>
                </c:pt>
                <c:pt idx="2">
                  <c:v>ToYou</c:v>
                </c:pt>
                <c:pt idx="3">
                  <c:v>Hungerstation</c:v>
                </c:pt>
                <c:pt idx="4">
                  <c:v>Chefz</c:v>
                </c:pt>
              </c:strCache>
            </c:strRef>
          </c:cat>
          <c:val>
            <c:numRef>
              <c:f>'Executive Summary'!$B$9:$B$13</c:f>
              <c:numCache>
                <c:formatCode>#,##0</c:formatCode>
                <c:ptCount val="5"/>
                <c:pt idx="0">
                  <c:v>55</c:v>
                </c:pt>
                <c:pt idx="1">
                  <c:v>47</c:v>
                </c:pt>
                <c:pt idx="2">
                  <c:v>44</c:v>
                </c:pt>
                <c:pt idx="3">
                  <c:v>37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7-45A0-A370-4D527093B9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0216432"/>
        <c:axId val="640705056"/>
      </c:barChart>
      <c:catAx>
        <c:axId val="76021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05056"/>
        <c:crosses val="autoZero"/>
        <c:auto val="1"/>
        <c:lblAlgn val="ctr"/>
        <c:lblOffset val="100"/>
        <c:noMultiLvlLbl val="0"/>
      </c:catAx>
      <c:valAx>
        <c:axId val="6407050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76021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Sales by Platform (SAR)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58158355205598"/>
          <c:y val="0.2011704834605598"/>
          <c:w val="0.71897397200349966"/>
          <c:h val="0.742849872773536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'Executive Summary'!$C$8</c:f>
              <c:strCache>
                <c:ptCount val="1"/>
                <c:pt idx="0">
                  <c:v>POS Net Sales (SAR)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'Executive Summary'!$A$9:$A$13</c:f>
              <c:strCache>
                <c:ptCount val="5"/>
                <c:pt idx="0">
                  <c:v>Ninja</c:v>
                </c:pt>
                <c:pt idx="1">
                  <c:v>Jahez</c:v>
                </c:pt>
                <c:pt idx="2">
                  <c:v>ToYou</c:v>
                </c:pt>
                <c:pt idx="3">
                  <c:v>Hungerstation</c:v>
                </c:pt>
                <c:pt idx="4">
                  <c:v>Chefz</c:v>
                </c:pt>
              </c:strCache>
            </c:strRef>
          </c:cat>
          <c:val>
            <c:numRef>
              <c:f>'Executive Summary'!$C$9:$C$13</c:f>
              <c:numCache>
                <c:formatCode>#,##0.00\ "SAR"</c:formatCode>
                <c:ptCount val="5"/>
                <c:pt idx="0">
                  <c:v>8039.4900000000007</c:v>
                </c:pt>
                <c:pt idx="1">
                  <c:v>6335.1799999999985</c:v>
                </c:pt>
                <c:pt idx="2">
                  <c:v>6744.31</c:v>
                </c:pt>
                <c:pt idx="3">
                  <c:v>5037.63</c:v>
                </c:pt>
                <c:pt idx="4">
                  <c:v>5049.78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B-4D03-A7C6-7C6D6B77B1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30918448"/>
        <c:axId val="640721376"/>
      </c:barChart>
      <c:catAx>
        <c:axId val="83091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21376"/>
        <c:crosses val="autoZero"/>
        <c:auto val="1"/>
        <c:lblAlgn val="ctr"/>
        <c:lblOffset val="100"/>
        <c:noMultiLvlLbl val="0"/>
      </c:catAx>
      <c:valAx>
        <c:axId val="640721376"/>
        <c:scaling>
          <c:orientation val="minMax"/>
        </c:scaling>
        <c:delete val="1"/>
        <c:axPos val="b"/>
        <c:numFmt formatCode="#,##0.00\ &quot;SAR&quot;" sourceLinked="1"/>
        <c:majorTickMark val="none"/>
        <c:minorTickMark val="none"/>
        <c:tickLblPos val="nextTo"/>
        <c:crossAx val="83091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140970</xdr:rowOff>
    </xdr:from>
    <xdr:to>
      <xdr:col>2</xdr:col>
      <xdr:colOff>426720</xdr:colOff>
      <xdr:row>27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BB30FA-A922-0885-5BF2-909EF0726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533400</xdr:colOff>
      <xdr:row>13</xdr:row>
      <xdr:rowOff>156210</xdr:rowOff>
    </xdr:from>
    <xdr:to>
      <xdr:col>5</xdr:col>
      <xdr:colOff>7620</xdr:colOff>
      <xdr:row>27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FAEC26-06C8-8C10-452D-88C0BE9E7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106680</xdr:colOff>
      <xdr:row>2</xdr:row>
      <xdr:rowOff>148590</xdr:rowOff>
    </xdr:from>
    <xdr:to>
      <xdr:col>0</xdr:col>
      <xdr:colOff>1882140</xdr:colOff>
      <xdr:row>5</xdr:row>
      <xdr:rowOff>34290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45DE017-42D4-656E-081C-8ADE2CEC6DDB}"/>
            </a:ext>
          </a:extLst>
        </xdr:cNvPr>
        <xdr:cNvSpPr/>
      </xdr:nvSpPr>
      <xdr:spPr>
        <a:xfrm>
          <a:off x="106680" y="651510"/>
          <a:ext cx="1775460" cy="59436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53340</xdr:colOff>
      <xdr:row>2</xdr:row>
      <xdr:rowOff>148590</xdr:rowOff>
    </xdr:from>
    <xdr:to>
      <xdr:col>2</xdr:col>
      <xdr:colOff>38100</xdr:colOff>
      <xdr:row>5</xdr:row>
      <xdr:rowOff>34290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10329BB-65B5-B2F6-CE0D-1B52DC396728}"/>
            </a:ext>
          </a:extLst>
        </xdr:cNvPr>
        <xdr:cNvSpPr/>
      </xdr:nvSpPr>
      <xdr:spPr>
        <a:xfrm>
          <a:off x="1988820" y="651510"/>
          <a:ext cx="1783080" cy="59436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144780</xdr:colOff>
      <xdr:row>2</xdr:row>
      <xdr:rowOff>148590</xdr:rowOff>
    </xdr:from>
    <xdr:to>
      <xdr:col>2</xdr:col>
      <xdr:colOff>1866900</xdr:colOff>
      <xdr:row>5</xdr:row>
      <xdr:rowOff>34290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CE59B9F-A8D8-B16F-C547-47A943F5FE97}"/>
            </a:ext>
          </a:extLst>
        </xdr:cNvPr>
        <xdr:cNvSpPr/>
      </xdr:nvSpPr>
      <xdr:spPr>
        <a:xfrm>
          <a:off x="3878580" y="651510"/>
          <a:ext cx="1722120" cy="59436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1973580</xdr:colOff>
      <xdr:row>2</xdr:row>
      <xdr:rowOff>148590</xdr:rowOff>
    </xdr:from>
    <xdr:to>
      <xdr:col>3</xdr:col>
      <xdr:colOff>1653540</xdr:colOff>
      <xdr:row>5</xdr:row>
      <xdr:rowOff>34290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1544030-36BC-3A9F-EB82-56BC4A578D85}"/>
            </a:ext>
          </a:extLst>
        </xdr:cNvPr>
        <xdr:cNvSpPr/>
      </xdr:nvSpPr>
      <xdr:spPr>
        <a:xfrm>
          <a:off x="5707380" y="651510"/>
          <a:ext cx="1691640" cy="59436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zoomScale="84" zoomScaleNormal="84" workbookViewId="0">
      <selection activeCell="H16" sqref="H16"/>
    </sheetView>
  </sheetViews>
  <sheetFormatPr defaultRowHeight="14.4" x14ac:dyDescent="0.3"/>
  <cols>
    <col min="1" max="1" width="28.21875" style="6" customWidth="1"/>
    <col min="2" max="2" width="26.21875" style="6" customWidth="1"/>
    <col min="3" max="3" width="29.33203125" style="6" customWidth="1"/>
    <col min="4" max="4" width="25.77734375" style="6" customWidth="1"/>
    <col min="5" max="16384" width="8.88671875" style="6"/>
  </cols>
  <sheetData>
    <row r="1" spans="1:4" ht="24.6" x14ac:dyDescent="0.55000000000000004">
      <c r="A1" s="5" t="s">
        <v>0</v>
      </c>
    </row>
    <row r="2" spans="1:4" ht="15" x14ac:dyDescent="0.35">
      <c r="A2" s="7" t="s">
        <v>1</v>
      </c>
    </row>
    <row r="4" spans="1:4" ht="16.8" x14ac:dyDescent="0.3">
      <c r="A4" s="8" t="s">
        <v>2</v>
      </c>
      <c r="B4" s="8" t="s">
        <v>3</v>
      </c>
      <c r="C4" s="8" t="s">
        <v>4</v>
      </c>
      <c r="D4" s="8" t="s">
        <v>5</v>
      </c>
    </row>
    <row r="5" spans="1:4" ht="24.6" x14ac:dyDescent="0.3">
      <c r="A5" s="9">
        <f>SUM(POS_Sales_Report!G2:G221)</f>
        <v>31206.390000000021</v>
      </c>
      <c r="B5" s="9">
        <f>SUM(Delivery_Platform_Report!H2:H218)</f>
        <v>24690.949999999997</v>
      </c>
      <c r="C5" s="9">
        <f>SUM(Reconciliation_Audit!I2:I221)</f>
        <v>524.86</v>
      </c>
      <c r="D5" s="10">
        <f>COUNTIF(Reconciliation_Audit!J2:J221, "Matched")/COUNTA(Reconciliation_Audit!A2:A221)</f>
        <v>0.98636363636363633</v>
      </c>
    </row>
    <row r="7" spans="1:4" ht="16.8" x14ac:dyDescent="0.4">
      <c r="A7" s="11" t="s">
        <v>6</v>
      </c>
    </row>
    <row r="8" spans="1:4" ht="16.8" x14ac:dyDescent="0.3">
      <c r="A8" s="18" t="s">
        <v>7</v>
      </c>
      <c r="B8" s="18" t="s">
        <v>8</v>
      </c>
      <c r="C8" s="18" t="s">
        <v>9</v>
      </c>
      <c r="D8" s="18" t="s">
        <v>10</v>
      </c>
    </row>
    <row r="9" spans="1:4" ht="16.8" x14ac:dyDescent="0.3">
      <c r="A9" s="15" t="s">
        <v>14</v>
      </c>
      <c r="B9" s="16">
        <f>COUNTIF(POS_Sales_Report!D2:D221, "Ninja")</f>
        <v>55</v>
      </c>
      <c r="C9" s="17">
        <f>SUMIF(POS_Sales_Report!D2:D221, "Ninja", POS_Sales_Report!G2:G221)</f>
        <v>8039.4900000000007</v>
      </c>
      <c r="D9" s="17">
        <f>AVERAGEIF(POS_Sales_Report!D2:D221, "Ninja", POS_Sales_Report!G2:G221)</f>
        <v>146.17254545454546</v>
      </c>
    </row>
    <row r="10" spans="1:4" ht="16.8" x14ac:dyDescent="0.3">
      <c r="A10" s="14" t="s">
        <v>11</v>
      </c>
      <c r="B10" s="13">
        <f>COUNTIF(POS_Sales_Report!D2:D221, "Jahez")</f>
        <v>47</v>
      </c>
      <c r="C10" s="12">
        <f>SUMIF(POS_Sales_Report!D2:D221, "Jahez", POS_Sales_Report!G2:G221)</f>
        <v>6335.1799999999985</v>
      </c>
      <c r="D10" s="12">
        <f>AVERAGEIF(POS_Sales_Report!D2:D221, "Jahez", POS_Sales_Report!G2:G221)</f>
        <v>134.79106382978719</v>
      </c>
    </row>
    <row r="11" spans="1:4" ht="16.8" x14ac:dyDescent="0.3">
      <c r="A11" s="14" t="s">
        <v>13</v>
      </c>
      <c r="B11" s="13">
        <f>COUNTIF(POS_Sales_Report!D2:D221, "ToYou")</f>
        <v>44</v>
      </c>
      <c r="C11" s="12">
        <f>SUMIF(POS_Sales_Report!D2:D221, "ToYou", POS_Sales_Report!G2:G221)</f>
        <v>6744.31</v>
      </c>
      <c r="D11" s="12">
        <f>AVERAGEIF(POS_Sales_Report!D2:D221, "ToYou", POS_Sales_Report!G2:G221)</f>
        <v>153.27977272727273</v>
      </c>
    </row>
    <row r="12" spans="1:4" ht="16.8" x14ac:dyDescent="0.3">
      <c r="A12" s="14" t="s">
        <v>12</v>
      </c>
      <c r="B12" s="13">
        <f>COUNTIF(POS_Sales_Report!D2:D221, "Hungerstation")</f>
        <v>37</v>
      </c>
      <c r="C12" s="12">
        <f>SUMIF(POS_Sales_Report!D2:D221, "Hungerstation", POS_Sales_Report!G2:G221)</f>
        <v>5037.63</v>
      </c>
      <c r="D12" s="12">
        <f>AVERAGEIF(POS_Sales_Report!D2:D221, "Hungerstation", POS_Sales_Report!G2:G221)</f>
        <v>136.15216216216217</v>
      </c>
    </row>
    <row r="13" spans="1:4" ht="16.8" x14ac:dyDescent="0.3">
      <c r="A13" s="14" t="s">
        <v>15</v>
      </c>
      <c r="B13" s="13">
        <f>COUNTIF(POS_Sales_Report!D2:D221, "Chefz")</f>
        <v>37</v>
      </c>
      <c r="C13" s="12">
        <f>SUMIF(POS_Sales_Report!D2:D221, "Chefz", POS_Sales_Report!G2:G221)</f>
        <v>5049.78</v>
      </c>
      <c r="D13" s="12">
        <f>AVERAGEIF(POS_Sales_Report!D2:D221, "Chefz", POS_Sales_Report!G2:G221)</f>
        <v>136.48054054054055</v>
      </c>
    </row>
  </sheetData>
  <sortState xmlns:xlrd2="http://schemas.microsoft.com/office/spreadsheetml/2017/richdata2" ref="A9:D13">
    <sortCondition descending="1" ref="B9:B13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1"/>
  <sheetViews>
    <sheetView tabSelected="1" zoomScale="83" zoomScaleNormal="83" workbookViewId="0"/>
  </sheetViews>
  <sheetFormatPr defaultRowHeight="14.4" x14ac:dyDescent="0.3"/>
  <cols>
    <col min="1" max="1" width="16" customWidth="1"/>
    <col min="2" max="2" width="19" customWidth="1"/>
    <col min="3" max="3" width="14" customWidth="1"/>
    <col min="4" max="4" width="12" customWidth="1"/>
    <col min="5" max="5" width="23" customWidth="1"/>
    <col min="6" max="8" width="29" customWidth="1"/>
    <col min="9" max="9" width="21" customWidth="1"/>
    <col min="10" max="10" width="25" customWidth="1"/>
    <col min="11" max="11" width="35.6640625" bestFit="1" customWidth="1"/>
  </cols>
  <sheetData>
    <row r="1" spans="1:11" ht="16.8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9</v>
      </c>
      <c r="F1" s="1" t="s">
        <v>20</v>
      </c>
      <c r="G1" s="1" t="s">
        <v>20</v>
      </c>
      <c r="H1" s="1" t="s">
        <v>508</v>
      </c>
      <c r="I1" s="1" t="s">
        <v>21</v>
      </c>
      <c r="J1" s="1" t="s">
        <v>22</v>
      </c>
      <c r="K1" s="1" t="s">
        <v>23</v>
      </c>
    </row>
    <row r="2" spans="1:11" ht="16.8" x14ac:dyDescent="0.4">
      <c r="A2" s="2" t="str">
        <f>POS_Sales_Report!A2</f>
        <v>POS-1000</v>
      </c>
      <c r="B2" s="2" t="str">
        <f>POS_Sales_Report!B2</f>
        <v>REF-80000</v>
      </c>
      <c r="C2" s="2" t="str">
        <f>POS_Sales_Report!C2</f>
        <v>2026-08-01</v>
      </c>
      <c r="D2" s="2" t="str">
        <f>POS_Sales_Report!D2</f>
        <v>Ninja</v>
      </c>
      <c r="E2" s="3">
        <f>POS_Sales_Report!G2</f>
        <v>123.49</v>
      </c>
      <c r="F2" s="3">
        <f>IFERROR(INDEX(Delivery_Platform_Report!$E:$E,MATCH(B2,Delivery_Platform_Report!$A:$A,0)),0)</f>
        <v>123.49</v>
      </c>
      <c r="G2" s="3">
        <f>IFERROR(INDEX(Delivery_Platform_Report!$H:$H,MATCH(B2,Delivery_Platform_Report!$A:$A,0)),0)</f>
        <v>106.45</v>
      </c>
      <c r="H2" s="3">
        <f>F2-G2</f>
        <v>17.039999999999992</v>
      </c>
      <c r="I2" s="3">
        <f>E2-F2</f>
        <v>0</v>
      </c>
      <c r="J2" s="2" t="str">
        <f t="shared" ref="J2:J65" si="0">IF(F2=0, "Missing in Platform", IF(ABS(I2)&lt;0.01, "Matched", "Amount Mismatch"))</f>
        <v>Matched</v>
      </c>
      <c r="K2" s="2" t="str">
        <f t="shared" ref="K2:K65" si="1">IF(J2="Matched", "Clean Record", IF(J2="Missing in Platform", "Uncollected Payout - Order Not Found", "Payout Variance - Requires Settlement Audit"))</f>
        <v>Clean Record</v>
      </c>
    </row>
    <row r="3" spans="1:11" ht="16.8" x14ac:dyDescent="0.4">
      <c r="A3" s="2" t="str">
        <f>POS_Sales_Report!A3</f>
        <v>POS-1001</v>
      </c>
      <c r="B3" s="2" t="str">
        <f>POS_Sales_Report!B3</f>
        <v>REF-80001</v>
      </c>
      <c r="C3" s="2" t="str">
        <f>POS_Sales_Report!C3</f>
        <v>2026-08-01</v>
      </c>
      <c r="D3" s="2" t="str">
        <f>POS_Sales_Report!D3</f>
        <v>Chefz</v>
      </c>
      <c r="E3" s="3">
        <f>POS_Sales_Report!G3</f>
        <v>148.72999999999999</v>
      </c>
      <c r="F3" s="3">
        <f>IFERROR(INDEX(Delivery_Platform_Report!$E:$E,MATCH(B3,Delivery_Platform_Report!$A:$A,0)),0)</f>
        <v>148.72999999999999</v>
      </c>
      <c r="G3" s="3">
        <f>IFERROR(INDEX(Delivery_Platform_Report!$H:$H,MATCH(B3,Delivery_Platform_Report!$A:$A,0)),0)</f>
        <v>111.1</v>
      </c>
      <c r="H3" s="3">
        <f t="shared" ref="H3:H66" si="2">F3-G3</f>
        <v>37.629999999999995</v>
      </c>
      <c r="I3" s="3">
        <f t="shared" ref="I3:I66" si="3">E3-F3</f>
        <v>0</v>
      </c>
      <c r="J3" s="2" t="str">
        <f t="shared" si="0"/>
        <v>Matched</v>
      </c>
      <c r="K3" s="2" t="str">
        <f t="shared" si="1"/>
        <v>Clean Record</v>
      </c>
    </row>
    <row r="4" spans="1:11" ht="16.8" x14ac:dyDescent="0.4">
      <c r="A4" s="2" t="str">
        <f>POS_Sales_Report!A4</f>
        <v>POS-1002</v>
      </c>
      <c r="B4" s="2" t="str">
        <f>POS_Sales_Report!B4</f>
        <v>REF-80002</v>
      </c>
      <c r="C4" s="2" t="str">
        <f>POS_Sales_Report!C4</f>
        <v>2026-08-01</v>
      </c>
      <c r="D4" s="2" t="str">
        <f>POS_Sales_Report!D4</f>
        <v>ToYou</v>
      </c>
      <c r="E4" s="3">
        <f>POS_Sales_Report!G4</f>
        <v>194.33</v>
      </c>
      <c r="F4" s="3">
        <f>IFERROR(INDEX(Delivery_Platform_Report!$E:$E,MATCH(B4,Delivery_Platform_Report!$A:$A,0)),0)</f>
        <v>194.33</v>
      </c>
      <c r="G4" s="3">
        <f>IFERROR(INDEX(Delivery_Platform_Report!$H:$H,MATCH(B4,Delivery_Platform_Report!$A:$A,0)),0)</f>
        <v>160.81</v>
      </c>
      <c r="H4" s="3">
        <f t="shared" si="2"/>
        <v>33.52000000000001</v>
      </c>
      <c r="I4" s="3">
        <f t="shared" si="3"/>
        <v>0</v>
      </c>
      <c r="J4" s="2" t="str">
        <f t="shared" si="0"/>
        <v>Matched</v>
      </c>
      <c r="K4" s="2" t="str">
        <f t="shared" si="1"/>
        <v>Clean Record</v>
      </c>
    </row>
    <row r="5" spans="1:11" ht="16.8" x14ac:dyDescent="0.4">
      <c r="A5" s="2" t="str">
        <f>POS_Sales_Report!A5</f>
        <v>POS-1003</v>
      </c>
      <c r="B5" s="2" t="str">
        <f>POS_Sales_Report!B5</f>
        <v>REF-80003</v>
      </c>
      <c r="C5" s="2" t="str">
        <f>POS_Sales_Report!C5</f>
        <v>2026-08-01</v>
      </c>
      <c r="D5" s="2" t="str">
        <f>POS_Sales_Report!D5</f>
        <v>Chefz</v>
      </c>
      <c r="E5" s="3">
        <f>POS_Sales_Report!G5</f>
        <v>181.89</v>
      </c>
      <c r="F5" s="3">
        <f>IFERROR(INDEX(Delivery_Platform_Report!$E:$E,MATCH(B5,Delivery_Platform_Report!$A:$A,0)),0)</f>
        <v>181.89</v>
      </c>
      <c r="G5" s="3">
        <f>IFERROR(INDEX(Delivery_Platform_Report!$H:$H,MATCH(B5,Delivery_Platform_Report!$A:$A,0)),0)</f>
        <v>135.87</v>
      </c>
      <c r="H5" s="3">
        <f t="shared" si="2"/>
        <v>46.019999999999982</v>
      </c>
      <c r="I5" s="3">
        <f t="shared" si="3"/>
        <v>0</v>
      </c>
      <c r="J5" s="2" t="str">
        <f t="shared" si="0"/>
        <v>Matched</v>
      </c>
      <c r="K5" s="2" t="str">
        <f t="shared" si="1"/>
        <v>Clean Record</v>
      </c>
    </row>
    <row r="6" spans="1:11" ht="16.8" x14ac:dyDescent="0.4">
      <c r="A6" s="2" t="str">
        <f>POS_Sales_Report!A6</f>
        <v>POS-1004</v>
      </c>
      <c r="B6" s="2" t="str">
        <f>POS_Sales_Report!B6</f>
        <v>REF-80004</v>
      </c>
      <c r="C6" s="2" t="str">
        <f>POS_Sales_Report!C6</f>
        <v>2026-08-01</v>
      </c>
      <c r="D6" s="2" t="str">
        <f>POS_Sales_Report!D6</f>
        <v>Chefz</v>
      </c>
      <c r="E6" s="3">
        <f>POS_Sales_Report!G6</f>
        <v>194.4</v>
      </c>
      <c r="F6" s="3">
        <f>IFERROR(INDEX(Delivery_Platform_Report!$E:$E,MATCH(B6,Delivery_Platform_Report!$A:$A,0)),0)</f>
        <v>194.4</v>
      </c>
      <c r="G6" s="3">
        <f>IFERROR(INDEX(Delivery_Platform_Report!$H:$H,MATCH(B6,Delivery_Platform_Report!$A:$A,0)),0)</f>
        <v>145.21</v>
      </c>
      <c r="H6" s="3">
        <f t="shared" si="2"/>
        <v>49.19</v>
      </c>
      <c r="I6" s="3">
        <f t="shared" si="3"/>
        <v>0</v>
      </c>
      <c r="J6" s="2" t="str">
        <f t="shared" si="0"/>
        <v>Matched</v>
      </c>
      <c r="K6" s="2" t="str">
        <f t="shared" si="1"/>
        <v>Clean Record</v>
      </c>
    </row>
    <row r="7" spans="1:11" ht="16.8" x14ac:dyDescent="0.4">
      <c r="A7" s="2" t="str">
        <f>POS_Sales_Report!A7</f>
        <v>POS-1005</v>
      </c>
      <c r="B7" s="2" t="str">
        <f>POS_Sales_Report!B7</f>
        <v>REF-80005</v>
      </c>
      <c r="C7" s="2" t="str">
        <f>POS_Sales_Report!C7</f>
        <v>2026-08-01</v>
      </c>
      <c r="D7" s="2" t="str">
        <f>POS_Sales_Report!D7</f>
        <v>Hungerstation</v>
      </c>
      <c r="E7" s="3">
        <f>POS_Sales_Report!G7</f>
        <v>83.91</v>
      </c>
      <c r="F7" s="3">
        <f>IFERROR(INDEX(Delivery_Platform_Report!$E:$E,MATCH(B7,Delivery_Platform_Report!$A:$A,0)),0)</f>
        <v>83.91</v>
      </c>
      <c r="G7" s="3">
        <f>IFERROR(INDEX(Delivery_Platform_Report!$H:$H,MATCH(B7,Delivery_Platform_Report!$A:$A,0)),0)</f>
        <v>64.61</v>
      </c>
      <c r="H7" s="3">
        <f t="shared" si="2"/>
        <v>19.299999999999997</v>
      </c>
      <c r="I7" s="3">
        <f t="shared" si="3"/>
        <v>0</v>
      </c>
      <c r="J7" s="2" t="str">
        <f t="shared" si="0"/>
        <v>Matched</v>
      </c>
      <c r="K7" s="2" t="str">
        <f t="shared" si="1"/>
        <v>Clean Record</v>
      </c>
    </row>
    <row r="8" spans="1:11" ht="16.8" x14ac:dyDescent="0.4">
      <c r="A8" s="2" t="str">
        <f>POS_Sales_Report!A8</f>
        <v>POS-1006</v>
      </c>
      <c r="B8" s="2" t="str">
        <f>POS_Sales_Report!B8</f>
        <v>REF-80006</v>
      </c>
      <c r="C8" s="2" t="str">
        <f>POS_Sales_Report!C8</f>
        <v>2026-08-01</v>
      </c>
      <c r="D8" s="2" t="str">
        <f>POS_Sales_Report!D8</f>
        <v>ToYou</v>
      </c>
      <c r="E8" s="3">
        <f>POS_Sales_Report!G8</f>
        <v>153.69999999999999</v>
      </c>
      <c r="F8" s="3">
        <f>IFERROR(INDEX(Delivery_Platform_Report!$E:$E,MATCH(B8,Delivery_Platform_Report!$A:$A,0)),0)</f>
        <v>153.69999999999999</v>
      </c>
      <c r="G8" s="3">
        <f>IFERROR(INDEX(Delivery_Platform_Report!$H:$H,MATCH(B8,Delivery_Platform_Report!$A:$A,0)),0)</f>
        <v>127.19</v>
      </c>
      <c r="H8" s="3">
        <f t="shared" si="2"/>
        <v>26.509999999999991</v>
      </c>
      <c r="I8" s="3">
        <f t="shared" si="3"/>
        <v>0</v>
      </c>
      <c r="J8" s="2" t="str">
        <f t="shared" si="0"/>
        <v>Matched</v>
      </c>
      <c r="K8" s="2" t="str">
        <f t="shared" si="1"/>
        <v>Clean Record</v>
      </c>
    </row>
    <row r="9" spans="1:11" ht="16.8" x14ac:dyDescent="0.4">
      <c r="A9" s="2" t="str">
        <f>POS_Sales_Report!A9</f>
        <v>POS-1007</v>
      </c>
      <c r="B9" s="2" t="str">
        <f>POS_Sales_Report!B9</f>
        <v>REF-80007</v>
      </c>
      <c r="C9" s="2" t="str">
        <f>POS_Sales_Report!C9</f>
        <v>2026-08-01</v>
      </c>
      <c r="D9" s="2" t="str">
        <f>POS_Sales_Report!D9</f>
        <v>ToYou</v>
      </c>
      <c r="E9" s="3">
        <f>POS_Sales_Report!G9</f>
        <v>186.11</v>
      </c>
      <c r="F9" s="3">
        <f>IFERROR(INDEX(Delivery_Platform_Report!$E:$E,MATCH(B9,Delivery_Platform_Report!$A:$A,0)),0)</f>
        <v>186.11</v>
      </c>
      <c r="G9" s="3">
        <f>IFERROR(INDEX(Delivery_Platform_Report!$H:$H,MATCH(B9,Delivery_Platform_Report!$A:$A,0)),0)</f>
        <v>154</v>
      </c>
      <c r="H9" s="3">
        <f t="shared" si="2"/>
        <v>32.110000000000014</v>
      </c>
      <c r="I9" s="3">
        <f t="shared" si="3"/>
        <v>0</v>
      </c>
      <c r="J9" s="2" t="str">
        <f t="shared" si="0"/>
        <v>Matched</v>
      </c>
      <c r="K9" s="2" t="str">
        <f t="shared" si="1"/>
        <v>Clean Record</v>
      </c>
    </row>
    <row r="10" spans="1:11" ht="16.8" x14ac:dyDescent="0.4">
      <c r="A10" s="2" t="str">
        <f>POS_Sales_Report!A10</f>
        <v>POS-1008</v>
      </c>
      <c r="B10" s="2" t="str">
        <f>POS_Sales_Report!B10</f>
        <v>REF-80008</v>
      </c>
      <c r="C10" s="2" t="str">
        <f>POS_Sales_Report!C10</f>
        <v>2026-08-01</v>
      </c>
      <c r="D10" s="2" t="str">
        <f>POS_Sales_Report!D10</f>
        <v>ToYou</v>
      </c>
      <c r="E10" s="3">
        <f>POS_Sales_Report!G10</f>
        <v>88</v>
      </c>
      <c r="F10" s="3">
        <f>IFERROR(INDEX(Delivery_Platform_Report!$E:$E,MATCH(B10,Delivery_Platform_Report!$A:$A,0)),0)</f>
        <v>88</v>
      </c>
      <c r="G10" s="3">
        <f>IFERROR(INDEX(Delivery_Platform_Report!$H:$H,MATCH(B10,Delivery_Platform_Report!$A:$A,0)),0)</f>
        <v>72.819999999999993</v>
      </c>
      <c r="H10" s="3">
        <f t="shared" si="2"/>
        <v>15.180000000000007</v>
      </c>
      <c r="I10" s="3">
        <f t="shared" si="3"/>
        <v>0</v>
      </c>
      <c r="J10" s="2" t="str">
        <f t="shared" si="0"/>
        <v>Matched</v>
      </c>
      <c r="K10" s="2" t="str">
        <f t="shared" si="1"/>
        <v>Clean Record</v>
      </c>
    </row>
    <row r="11" spans="1:11" ht="16.8" x14ac:dyDescent="0.4">
      <c r="A11" s="2" t="str">
        <f>POS_Sales_Report!A11</f>
        <v>POS-1009</v>
      </c>
      <c r="B11" s="2" t="str">
        <f>POS_Sales_Report!B11</f>
        <v>REF-80009</v>
      </c>
      <c r="C11" s="2" t="str">
        <f>POS_Sales_Report!C11</f>
        <v>2026-08-01</v>
      </c>
      <c r="D11" s="2" t="str">
        <f>POS_Sales_Report!D11</f>
        <v>Chefz</v>
      </c>
      <c r="E11" s="3">
        <f>POS_Sales_Report!G11</f>
        <v>76.739999999999995</v>
      </c>
      <c r="F11" s="3">
        <f>IFERROR(INDEX(Delivery_Platform_Report!$E:$E,MATCH(B11,Delivery_Platform_Report!$A:$A,0)),0)</f>
        <v>76.739999999999995</v>
      </c>
      <c r="G11" s="3">
        <f>IFERROR(INDEX(Delivery_Platform_Report!$H:$H,MATCH(B11,Delivery_Platform_Report!$A:$A,0)),0)</f>
        <v>57.33</v>
      </c>
      <c r="H11" s="3">
        <f t="shared" si="2"/>
        <v>19.409999999999997</v>
      </c>
      <c r="I11" s="3">
        <f t="shared" si="3"/>
        <v>0</v>
      </c>
      <c r="J11" s="2" t="str">
        <f t="shared" si="0"/>
        <v>Matched</v>
      </c>
      <c r="K11" s="2" t="str">
        <f t="shared" si="1"/>
        <v>Clean Record</v>
      </c>
    </row>
    <row r="12" spans="1:11" ht="16.8" x14ac:dyDescent="0.4">
      <c r="A12" s="2" t="str">
        <f>POS_Sales_Report!A12</f>
        <v>POS-1010</v>
      </c>
      <c r="B12" s="2" t="str">
        <f>POS_Sales_Report!B12</f>
        <v>REF-80010</v>
      </c>
      <c r="C12" s="2" t="str">
        <f>POS_Sales_Report!C12</f>
        <v>2026-08-01</v>
      </c>
      <c r="D12" s="2" t="str">
        <f>POS_Sales_Report!D12</f>
        <v>Ninja</v>
      </c>
      <c r="E12" s="3">
        <f>POS_Sales_Report!G12</f>
        <v>246.26</v>
      </c>
      <c r="F12" s="3">
        <f>IFERROR(INDEX(Delivery_Platform_Report!$E:$E,MATCH(B12,Delivery_Platform_Report!$A:$A,0)),0)</f>
        <v>246.26</v>
      </c>
      <c r="G12" s="3">
        <f>IFERROR(INDEX(Delivery_Platform_Report!$H:$H,MATCH(B12,Delivery_Platform_Report!$A:$A,0)),0)</f>
        <v>197.28</v>
      </c>
      <c r="H12" s="3">
        <f t="shared" si="2"/>
        <v>48.97999999999999</v>
      </c>
      <c r="I12" s="3">
        <f t="shared" si="3"/>
        <v>0</v>
      </c>
      <c r="J12" s="2" t="str">
        <f t="shared" si="0"/>
        <v>Matched</v>
      </c>
      <c r="K12" s="2" t="str">
        <f t="shared" si="1"/>
        <v>Clean Record</v>
      </c>
    </row>
    <row r="13" spans="1:11" ht="16.8" x14ac:dyDescent="0.4">
      <c r="A13" s="2" t="str">
        <f>POS_Sales_Report!A13</f>
        <v>POS-1011</v>
      </c>
      <c r="B13" s="2" t="str">
        <f>POS_Sales_Report!B13</f>
        <v>REF-80011</v>
      </c>
      <c r="C13" s="2" t="str">
        <f>POS_Sales_Report!C13</f>
        <v>2026-08-01</v>
      </c>
      <c r="D13" s="2" t="str">
        <f>POS_Sales_Report!D13</f>
        <v>ToYou</v>
      </c>
      <c r="E13" s="3">
        <f>POS_Sales_Report!G13</f>
        <v>133.63999999999999</v>
      </c>
      <c r="F13" s="3">
        <f>IFERROR(INDEX(Delivery_Platform_Report!$E:$E,MATCH(B13,Delivery_Platform_Report!$A:$A,0)),0)</f>
        <v>133.63999999999999</v>
      </c>
      <c r="G13" s="3">
        <f>IFERROR(INDEX(Delivery_Platform_Report!$H:$H,MATCH(B13,Delivery_Platform_Report!$A:$A,0)),0)</f>
        <v>110.58</v>
      </c>
      <c r="H13" s="3">
        <f t="shared" si="2"/>
        <v>23.059999999999988</v>
      </c>
      <c r="I13" s="3">
        <f t="shared" si="3"/>
        <v>0</v>
      </c>
      <c r="J13" s="2" t="str">
        <f t="shared" si="0"/>
        <v>Matched</v>
      </c>
      <c r="K13" s="2" t="str">
        <f t="shared" si="1"/>
        <v>Clean Record</v>
      </c>
    </row>
    <row r="14" spans="1:11" ht="16.8" x14ac:dyDescent="0.4">
      <c r="A14" s="2" t="str">
        <f>POS_Sales_Report!A14</f>
        <v>POS-1012</v>
      </c>
      <c r="B14" s="2" t="str">
        <f>POS_Sales_Report!B14</f>
        <v>REF-80012</v>
      </c>
      <c r="C14" s="2" t="str">
        <f>POS_Sales_Report!C14</f>
        <v>2026-08-01</v>
      </c>
      <c r="D14" s="2" t="str">
        <f>POS_Sales_Report!D14</f>
        <v>Chefz</v>
      </c>
      <c r="E14" s="3">
        <f>POS_Sales_Report!G14</f>
        <v>85.289999999999992</v>
      </c>
      <c r="F14" s="3">
        <f>IFERROR(INDEX(Delivery_Platform_Report!$E:$E,MATCH(B14,Delivery_Platform_Report!$A:$A,0)),0)</f>
        <v>85.289999999999992</v>
      </c>
      <c r="G14" s="3">
        <f>IFERROR(INDEX(Delivery_Platform_Report!$H:$H,MATCH(B14,Delivery_Platform_Report!$A:$A,0)),0)</f>
        <v>63.72</v>
      </c>
      <c r="H14" s="3">
        <f t="shared" si="2"/>
        <v>21.569999999999993</v>
      </c>
      <c r="I14" s="3">
        <f t="shared" si="3"/>
        <v>0</v>
      </c>
      <c r="J14" s="2" t="str">
        <f t="shared" si="0"/>
        <v>Matched</v>
      </c>
      <c r="K14" s="2" t="str">
        <f t="shared" si="1"/>
        <v>Clean Record</v>
      </c>
    </row>
    <row r="15" spans="1:11" ht="16.8" x14ac:dyDescent="0.4">
      <c r="A15" s="2" t="str">
        <f>POS_Sales_Report!A15</f>
        <v>POS-1013</v>
      </c>
      <c r="B15" s="2" t="str">
        <f>POS_Sales_Report!B15</f>
        <v>REF-80013</v>
      </c>
      <c r="C15" s="2" t="str">
        <f>POS_Sales_Report!C15</f>
        <v>2026-08-01</v>
      </c>
      <c r="D15" s="2" t="str">
        <f>POS_Sales_Report!D15</f>
        <v>Hungerstation</v>
      </c>
      <c r="E15" s="3">
        <f>POS_Sales_Report!G15</f>
        <v>249.21</v>
      </c>
      <c r="F15" s="3">
        <f>IFERROR(INDEX(Delivery_Platform_Report!$E:$E,MATCH(B15,Delivery_Platform_Report!$A:$A,0)),0)</f>
        <v>249.21</v>
      </c>
      <c r="G15" s="3">
        <f>IFERROR(INDEX(Delivery_Platform_Report!$H:$H,MATCH(B15,Delivery_Platform_Report!$A:$A,0)),0)</f>
        <v>191.89</v>
      </c>
      <c r="H15" s="3">
        <f t="shared" si="2"/>
        <v>57.320000000000022</v>
      </c>
      <c r="I15" s="3">
        <f t="shared" si="3"/>
        <v>0</v>
      </c>
      <c r="J15" s="2" t="str">
        <f t="shared" si="0"/>
        <v>Matched</v>
      </c>
      <c r="K15" s="2" t="str">
        <f t="shared" si="1"/>
        <v>Clean Record</v>
      </c>
    </row>
    <row r="16" spans="1:11" ht="16.8" x14ac:dyDescent="0.4">
      <c r="A16" s="2" t="str">
        <f>POS_Sales_Report!A16</f>
        <v>POS-1014</v>
      </c>
      <c r="B16" s="2" t="str">
        <f>POS_Sales_Report!B16</f>
        <v>REF-80014</v>
      </c>
      <c r="C16" s="2" t="str">
        <f>POS_Sales_Report!C16</f>
        <v>2026-08-01</v>
      </c>
      <c r="D16" s="2" t="str">
        <f>POS_Sales_Report!D16</f>
        <v>Ninja</v>
      </c>
      <c r="E16" s="3">
        <f>POS_Sales_Report!G16</f>
        <v>218.47</v>
      </c>
      <c r="F16" s="3">
        <f>IFERROR(INDEX(Delivery_Platform_Report!$E:$E,MATCH(B16,Delivery_Platform_Report!$A:$A,0)),0)</f>
        <v>218.47</v>
      </c>
      <c r="G16" s="3">
        <f>IFERROR(INDEX(Delivery_Platform_Report!$H:$H,MATCH(B16,Delivery_Platform_Report!$A:$A,0)),0)</f>
        <v>188.32</v>
      </c>
      <c r="H16" s="3">
        <f t="shared" si="2"/>
        <v>30.150000000000006</v>
      </c>
      <c r="I16" s="3">
        <f t="shared" si="3"/>
        <v>0</v>
      </c>
      <c r="J16" s="2" t="str">
        <f t="shared" si="0"/>
        <v>Matched</v>
      </c>
      <c r="K16" s="2" t="str">
        <f t="shared" si="1"/>
        <v>Clean Record</v>
      </c>
    </row>
    <row r="17" spans="1:11" ht="16.8" x14ac:dyDescent="0.4">
      <c r="A17" s="2" t="str">
        <f>POS_Sales_Report!A17</f>
        <v>POS-1015</v>
      </c>
      <c r="B17" s="2" t="str">
        <f>POS_Sales_Report!B17</f>
        <v>REF-80015</v>
      </c>
      <c r="C17" s="2" t="str">
        <f>POS_Sales_Report!C17</f>
        <v>2026-08-01</v>
      </c>
      <c r="D17" s="2" t="str">
        <f>POS_Sales_Report!D17</f>
        <v>Hungerstation</v>
      </c>
      <c r="E17" s="3">
        <f>POS_Sales_Report!G17</f>
        <v>157.24</v>
      </c>
      <c r="F17" s="3">
        <f>IFERROR(INDEX(Delivery_Platform_Report!$E:$E,MATCH(B17,Delivery_Platform_Report!$A:$A,0)),0)</f>
        <v>0</v>
      </c>
      <c r="G17" s="3">
        <f>IFERROR(INDEX(Delivery_Platform_Report!$H:$H,MATCH(B17,Delivery_Platform_Report!$A:$A,0)),0)</f>
        <v>0</v>
      </c>
      <c r="H17" s="3">
        <f t="shared" si="2"/>
        <v>0</v>
      </c>
      <c r="I17" s="3">
        <f t="shared" si="3"/>
        <v>157.24</v>
      </c>
      <c r="J17" s="2" t="str">
        <f t="shared" si="0"/>
        <v>Missing in Platform</v>
      </c>
      <c r="K17" s="2" t="str">
        <f t="shared" si="1"/>
        <v>Uncollected Payout - Order Not Found</v>
      </c>
    </row>
    <row r="18" spans="1:11" ht="16.8" x14ac:dyDescent="0.4">
      <c r="A18" s="2" t="str">
        <f>POS_Sales_Report!A18</f>
        <v>POS-1016</v>
      </c>
      <c r="B18" s="2" t="str">
        <f>POS_Sales_Report!B18</f>
        <v>REF-80016</v>
      </c>
      <c r="C18" s="2" t="str">
        <f>POS_Sales_Report!C18</f>
        <v>2026-08-02</v>
      </c>
      <c r="D18" s="2" t="str">
        <f>POS_Sales_Report!D18</f>
        <v>Ninja</v>
      </c>
      <c r="E18" s="3">
        <f>POS_Sales_Report!G18</f>
        <v>225.35</v>
      </c>
      <c r="F18" s="3">
        <f>IFERROR(INDEX(Delivery_Platform_Report!$E:$E,MATCH(B18,Delivery_Platform_Report!$A:$A,0)),0)</f>
        <v>225.35</v>
      </c>
      <c r="G18" s="3">
        <f>IFERROR(INDEX(Delivery_Platform_Report!$H:$H,MATCH(B18,Delivery_Platform_Report!$A:$A,0)),0)</f>
        <v>194.25</v>
      </c>
      <c r="H18" s="3">
        <f t="shared" si="2"/>
        <v>31.099999999999994</v>
      </c>
      <c r="I18" s="3">
        <f t="shared" si="3"/>
        <v>0</v>
      </c>
      <c r="J18" s="2" t="str">
        <f t="shared" si="0"/>
        <v>Matched</v>
      </c>
      <c r="K18" s="2" t="str">
        <f t="shared" si="1"/>
        <v>Clean Record</v>
      </c>
    </row>
    <row r="19" spans="1:11" ht="16.8" x14ac:dyDescent="0.4">
      <c r="A19" s="2" t="str">
        <f>POS_Sales_Report!A19</f>
        <v>POS-1017</v>
      </c>
      <c r="B19" s="2" t="str">
        <f>POS_Sales_Report!B19</f>
        <v>REF-80017</v>
      </c>
      <c r="C19" s="2" t="str">
        <f>POS_Sales_Report!C19</f>
        <v>2026-08-02</v>
      </c>
      <c r="D19" s="2" t="str">
        <f>POS_Sales_Report!D19</f>
        <v>Chefz</v>
      </c>
      <c r="E19" s="3">
        <f>POS_Sales_Report!G19</f>
        <v>79.63</v>
      </c>
      <c r="F19" s="3">
        <f>IFERROR(INDEX(Delivery_Platform_Report!$E:$E,MATCH(B19,Delivery_Platform_Report!$A:$A,0)),0)</f>
        <v>79.63</v>
      </c>
      <c r="G19" s="3">
        <f>IFERROR(INDEX(Delivery_Platform_Report!$H:$H,MATCH(B19,Delivery_Platform_Report!$A:$A,0)),0)</f>
        <v>59.48</v>
      </c>
      <c r="H19" s="3">
        <f t="shared" si="2"/>
        <v>20.149999999999999</v>
      </c>
      <c r="I19" s="3">
        <f t="shared" si="3"/>
        <v>0</v>
      </c>
      <c r="J19" s="2" t="str">
        <f t="shared" si="0"/>
        <v>Matched</v>
      </c>
      <c r="K19" s="2" t="str">
        <f t="shared" si="1"/>
        <v>Clean Record</v>
      </c>
    </row>
    <row r="20" spans="1:11" ht="16.8" x14ac:dyDescent="0.4">
      <c r="A20" s="2" t="str">
        <f>POS_Sales_Report!A20</f>
        <v>POS-1018</v>
      </c>
      <c r="B20" s="2" t="str">
        <f>POS_Sales_Report!B20</f>
        <v>REF-80018</v>
      </c>
      <c r="C20" s="2" t="str">
        <f>POS_Sales_Report!C20</f>
        <v>2026-08-02</v>
      </c>
      <c r="D20" s="2" t="str">
        <f>POS_Sales_Report!D20</f>
        <v>Jahez</v>
      </c>
      <c r="E20" s="3">
        <f>POS_Sales_Report!G20</f>
        <v>98.56</v>
      </c>
      <c r="F20" s="3">
        <f>IFERROR(INDEX(Delivery_Platform_Report!$E:$E,MATCH(B20,Delivery_Platform_Report!$A:$A,0)),0)</f>
        <v>98.56</v>
      </c>
      <c r="G20" s="3">
        <f>IFERROR(INDEX(Delivery_Platform_Report!$H:$H,MATCH(B20,Delivery_Platform_Report!$A:$A,0)),0)</f>
        <v>78.16</v>
      </c>
      <c r="H20" s="3">
        <f t="shared" si="2"/>
        <v>20.400000000000006</v>
      </c>
      <c r="I20" s="3">
        <f t="shared" si="3"/>
        <v>0</v>
      </c>
      <c r="J20" s="2" t="str">
        <f t="shared" si="0"/>
        <v>Matched</v>
      </c>
      <c r="K20" s="2" t="str">
        <f t="shared" si="1"/>
        <v>Clean Record</v>
      </c>
    </row>
    <row r="21" spans="1:11" ht="16.8" x14ac:dyDescent="0.4">
      <c r="A21" s="2" t="str">
        <f>POS_Sales_Report!A21</f>
        <v>POS-1019</v>
      </c>
      <c r="B21" s="2" t="str">
        <f>POS_Sales_Report!B21</f>
        <v>REF-80019</v>
      </c>
      <c r="C21" s="2" t="str">
        <f>POS_Sales_Report!C21</f>
        <v>2026-08-02</v>
      </c>
      <c r="D21" s="2" t="str">
        <f>POS_Sales_Report!D21</f>
        <v>Ninja</v>
      </c>
      <c r="E21" s="3">
        <f>POS_Sales_Report!G21</f>
        <v>187.08</v>
      </c>
      <c r="F21" s="3">
        <f>IFERROR(INDEX(Delivery_Platform_Report!$E:$E,MATCH(B21,Delivery_Platform_Report!$A:$A,0)),0)</f>
        <v>187.08</v>
      </c>
      <c r="G21" s="3">
        <f>IFERROR(INDEX(Delivery_Platform_Report!$H:$H,MATCH(B21,Delivery_Platform_Report!$A:$A,0)),0)</f>
        <v>161.26</v>
      </c>
      <c r="H21" s="3">
        <f t="shared" si="2"/>
        <v>25.820000000000022</v>
      </c>
      <c r="I21" s="3">
        <f t="shared" si="3"/>
        <v>0</v>
      </c>
      <c r="J21" s="2" t="str">
        <f t="shared" si="0"/>
        <v>Matched</v>
      </c>
      <c r="K21" s="2" t="str">
        <f t="shared" si="1"/>
        <v>Clean Record</v>
      </c>
    </row>
    <row r="22" spans="1:11" ht="16.8" x14ac:dyDescent="0.4">
      <c r="A22" s="2" t="str">
        <f>POS_Sales_Report!A22</f>
        <v>POS-1020</v>
      </c>
      <c r="B22" s="2" t="str">
        <f>POS_Sales_Report!B22</f>
        <v>REF-80020</v>
      </c>
      <c r="C22" s="2" t="str">
        <f>POS_Sales_Report!C22</f>
        <v>2026-08-02</v>
      </c>
      <c r="D22" s="2" t="str">
        <f>POS_Sales_Report!D22</f>
        <v>Hungerstation</v>
      </c>
      <c r="E22" s="3">
        <f>POS_Sales_Report!G22</f>
        <v>217.8</v>
      </c>
      <c r="F22" s="3">
        <f>IFERROR(INDEX(Delivery_Platform_Report!$E:$E,MATCH(B22,Delivery_Platform_Report!$A:$A,0)),0)</f>
        <v>217.8</v>
      </c>
      <c r="G22" s="3">
        <f>IFERROR(INDEX(Delivery_Platform_Report!$H:$H,MATCH(B22,Delivery_Platform_Report!$A:$A,0)),0)</f>
        <v>167.71</v>
      </c>
      <c r="H22" s="3">
        <f t="shared" si="2"/>
        <v>50.09</v>
      </c>
      <c r="I22" s="3">
        <f t="shared" si="3"/>
        <v>0</v>
      </c>
      <c r="J22" s="2" t="str">
        <f t="shared" si="0"/>
        <v>Matched</v>
      </c>
      <c r="K22" s="2" t="str">
        <f t="shared" si="1"/>
        <v>Clean Record</v>
      </c>
    </row>
    <row r="23" spans="1:11" ht="16.8" x14ac:dyDescent="0.4">
      <c r="A23" s="2" t="str">
        <f>POS_Sales_Report!A23</f>
        <v>POS-1021</v>
      </c>
      <c r="B23" s="2" t="str">
        <f>POS_Sales_Report!B23</f>
        <v>REF-80021</v>
      </c>
      <c r="C23" s="2" t="str">
        <f>POS_Sales_Report!C23</f>
        <v>2026-08-02</v>
      </c>
      <c r="D23" s="2" t="str">
        <f>POS_Sales_Report!D23</f>
        <v>Chefz</v>
      </c>
      <c r="E23" s="3">
        <f>POS_Sales_Report!G23</f>
        <v>219.83</v>
      </c>
      <c r="F23" s="3">
        <f>IFERROR(INDEX(Delivery_Platform_Report!$E:$E,MATCH(B23,Delivery_Platform_Report!$A:$A,0)),0)</f>
        <v>219.83</v>
      </c>
      <c r="G23" s="3">
        <f>IFERROR(INDEX(Delivery_Platform_Report!$H:$H,MATCH(B23,Delivery_Platform_Report!$A:$A,0)),0)</f>
        <v>164.22</v>
      </c>
      <c r="H23" s="3">
        <f t="shared" si="2"/>
        <v>55.610000000000014</v>
      </c>
      <c r="I23" s="3">
        <f t="shared" si="3"/>
        <v>0</v>
      </c>
      <c r="J23" s="2" t="str">
        <f t="shared" si="0"/>
        <v>Matched</v>
      </c>
      <c r="K23" s="2" t="str">
        <f t="shared" si="1"/>
        <v>Clean Record</v>
      </c>
    </row>
    <row r="24" spans="1:11" ht="16.8" x14ac:dyDescent="0.4">
      <c r="A24" s="2" t="str">
        <f>POS_Sales_Report!A24</f>
        <v>POS-1022</v>
      </c>
      <c r="B24" s="2" t="str">
        <f>POS_Sales_Report!B24</f>
        <v>REF-80022</v>
      </c>
      <c r="C24" s="2" t="str">
        <f>POS_Sales_Report!C24</f>
        <v>2026-08-02</v>
      </c>
      <c r="D24" s="2" t="str">
        <f>POS_Sales_Report!D24</f>
        <v>Ninja</v>
      </c>
      <c r="E24" s="3">
        <f>POS_Sales_Report!G24</f>
        <v>124.95</v>
      </c>
      <c r="F24" s="3">
        <f>IFERROR(INDEX(Delivery_Platform_Report!$E:$E,MATCH(B24,Delivery_Platform_Report!$A:$A,0)),0)</f>
        <v>124.95</v>
      </c>
      <c r="G24" s="3">
        <f>IFERROR(INDEX(Delivery_Platform_Report!$H:$H,MATCH(B24,Delivery_Platform_Report!$A:$A,0)),0)</f>
        <v>107.71</v>
      </c>
      <c r="H24" s="3">
        <f t="shared" si="2"/>
        <v>17.240000000000009</v>
      </c>
      <c r="I24" s="3">
        <f t="shared" si="3"/>
        <v>0</v>
      </c>
      <c r="J24" s="2" t="str">
        <f t="shared" si="0"/>
        <v>Matched</v>
      </c>
      <c r="K24" s="2" t="str">
        <f t="shared" si="1"/>
        <v>Clean Record</v>
      </c>
    </row>
    <row r="25" spans="1:11" ht="16.8" x14ac:dyDescent="0.4">
      <c r="A25" s="2" t="str">
        <f>POS_Sales_Report!A25</f>
        <v>POS-1023</v>
      </c>
      <c r="B25" s="2" t="str">
        <f>POS_Sales_Report!B25</f>
        <v>REF-80023</v>
      </c>
      <c r="C25" s="2" t="str">
        <f>POS_Sales_Report!C25</f>
        <v>2026-08-02</v>
      </c>
      <c r="D25" s="2" t="str">
        <f>POS_Sales_Report!D25</f>
        <v>Jahez</v>
      </c>
      <c r="E25" s="3">
        <f>POS_Sales_Report!G25</f>
        <v>203.79</v>
      </c>
      <c r="F25" s="3">
        <f>IFERROR(INDEX(Delivery_Platform_Report!$E:$E,MATCH(B25,Delivery_Platform_Report!$A:$A,0)),0)</f>
        <v>203.79</v>
      </c>
      <c r="G25" s="3">
        <f>IFERROR(INDEX(Delivery_Platform_Report!$H:$H,MATCH(B25,Delivery_Platform_Report!$A:$A,0)),0)</f>
        <v>161.61000000000001</v>
      </c>
      <c r="H25" s="3">
        <f t="shared" si="2"/>
        <v>42.179999999999978</v>
      </c>
      <c r="I25" s="3">
        <f t="shared" si="3"/>
        <v>0</v>
      </c>
      <c r="J25" s="2" t="str">
        <f t="shared" si="0"/>
        <v>Matched</v>
      </c>
      <c r="K25" s="2" t="str">
        <f>IF(J25="Matched", "Clean Record", IF(J25="Missing in Platform", "Uncollected Payout - Order Not Found", "Payout Variance - Requires Settlement Audit"))</f>
        <v>Clean Record</v>
      </c>
    </row>
    <row r="26" spans="1:11" ht="16.8" x14ac:dyDescent="0.4">
      <c r="A26" s="2" t="str">
        <f>POS_Sales_Report!A26</f>
        <v>POS-1024</v>
      </c>
      <c r="B26" s="2" t="str">
        <f>POS_Sales_Report!B26</f>
        <v>REF-80024</v>
      </c>
      <c r="C26" s="2" t="str">
        <f>POS_Sales_Report!C26</f>
        <v>2026-08-02</v>
      </c>
      <c r="D26" s="2" t="str">
        <f>POS_Sales_Report!D26</f>
        <v>Jahez</v>
      </c>
      <c r="E26" s="3">
        <f>POS_Sales_Report!G26</f>
        <v>196.82</v>
      </c>
      <c r="F26" s="3">
        <f>IFERROR(INDEX(Delivery_Platform_Report!$E:$E,MATCH(B26,Delivery_Platform_Report!$A:$A,0)),0)</f>
        <v>196.82</v>
      </c>
      <c r="G26" s="3">
        <f>IFERROR(INDEX(Delivery_Platform_Report!$H:$H,MATCH(B26,Delivery_Platform_Report!$A:$A,0)),0)</f>
        <v>156.08000000000001</v>
      </c>
      <c r="H26" s="3">
        <f t="shared" si="2"/>
        <v>40.739999999999981</v>
      </c>
      <c r="I26" s="3">
        <f t="shared" si="3"/>
        <v>0</v>
      </c>
      <c r="J26" s="2" t="str">
        <f t="shared" si="0"/>
        <v>Matched</v>
      </c>
      <c r="K26" s="2" t="str">
        <f t="shared" si="1"/>
        <v>Clean Record</v>
      </c>
    </row>
    <row r="27" spans="1:11" ht="16.8" x14ac:dyDescent="0.4">
      <c r="A27" s="2" t="str">
        <f>POS_Sales_Report!A27</f>
        <v>POS-1025</v>
      </c>
      <c r="B27" s="2" t="str">
        <f>POS_Sales_Report!B27</f>
        <v>REF-80025</v>
      </c>
      <c r="C27" s="2" t="str">
        <f>POS_Sales_Report!C27</f>
        <v>2026-08-02</v>
      </c>
      <c r="D27" s="2" t="str">
        <f>POS_Sales_Report!D27</f>
        <v>ToYou</v>
      </c>
      <c r="E27" s="3">
        <f>POS_Sales_Report!G27</f>
        <v>236.48</v>
      </c>
      <c r="F27" s="3">
        <f>IFERROR(INDEX(Delivery_Platform_Report!$E:$E,MATCH(B27,Delivery_Platform_Report!$A:$A,0)),0)</f>
        <v>236.48</v>
      </c>
      <c r="G27" s="3">
        <f>IFERROR(INDEX(Delivery_Platform_Report!$H:$H,MATCH(B27,Delivery_Platform_Report!$A:$A,0)),0)</f>
        <v>180.69</v>
      </c>
      <c r="H27" s="3">
        <f t="shared" si="2"/>
        <v>55.789999999999992</v>
      </c>
      <c r="I27" s="3">
        <f t="shared" si="3"/>
        <v>0</v>
      </c>
      <c r="J27" s="2" t="str">
        <f t="shared" si="0"/>
        <v>Matched</v>
      </c>
      <c r="K27" s="2" t="str">
        <f t="shared" si="1"/>
        <v>Clean Record</v>
      </c>
    </row>
    <row r="28" spans="1:11" ht="16.8" x14ac:dyDescent="0.4">
      <c r="A28" s="2" t="str">
        <f>POS_Sales_Report!A28</f>
        <v>POS-1026</v>
      </c>
      <c r="B28" s="2" t="str">
        <f>POS_Sales_Report!B28</f>
        <v>REF-80026</v>
      </c>
      <c r="C28" s="2" t="str">
        <f>POS_Sales_Report!C28</f>
        <v>2026-08-02</v>
      </c>
      <c r="D28" s="2" t="str">
        <f>POS_Sales_Report!D28</f>
        <v>ToYou</v>
      </c>
      <c r="E28" s="3">
        <f>POS_Sales_Report!G28</f>
        <v>184.43</v>
      </c>
      <c r="F28" s="3">
        <f>IFERROR(INDEX(Delivery_Platform_Report!$E:$E,MATCH(B28,Delivery_Platform_Report!$A:$A,0)),0)</f>
        <v>184.43</v>
      </c>
      <c r="G28" s="3">
        <f>IFERROR(INDEX(Delivery_Platform_Report!$H:$H,MATCH(B28,Delivery_Platform_Report!$A:$A,0)),0)</f>
        <v>152.62</v>
      </c>
      <c r="H28" s="3">
        <f t="shared" si="2"/>
        <v>31.810000000000002</v>
      </c>
      <c r="I28" s="3">
        <f t="shared" si="3"/>
        <v>0</v>
      </c>
      <c r="J28" s="2" t="str">
        <f t="shared" si="0"/>
        <v>Matched</v>
      </c>
      <c r="K28" s="2" t="str">
        <f t="shared" si="1"/>
        <v>Clean Record</v>
      </c>
    </row>
    <row r="29" spans="1:11" ht="16.8" x14ac:dyDescent="0.4">
      <c r="A29" s="2" t="str">
        <f>POS_Sales_Report!A29</f>
        <v>POS-1027</v>
      </c>
      <c r="B29" s="2" t="str">
        <f>POS_Sales_Report!B29</f>
        <v>REF-80027</v>
      </c>
      <c r="C29" s="2" t="str">
        <f>POS_Sales_Report!C29</f>
        <v>2026-08-02</v>
      </c>
      <c r="D29" s="2" t="str">
        <f>POS_Sales_Report!D29</f>
        <v>Hungerstation</v>
      </c>
      <c r="E29" s="3">
        <f>POS_Sales_Report!G29</f>
        <v>162.44</v>
      </c>
      <c r="F29" s="3">
        <f>IFERROR(INDEX(Delivery_Platform_Report!$E:$E,MATCH(B29,Delivery_Platform_Report!$A:$A,0)),0)</f>
        <v>162.44</v>
      </c>
      <c r="G29" s="3">
        <f>IFERROR(INDEX(Delivery_Platform_Report!$H:$H,MATCH(B29,Delivery_Platform_Report!$A:$A,0)),0)</f>
        <v>125.08</v>
      </c>
      <c r="H29" s="3">
        <f t="shared" si="2"/>
        <v>37.36</v>
      </c>
      <c r="I29" s="3">
        <f t="shared" si="3"/>
        <v>0</v>
      </c>
      <c r="J29" s="2" t="str">
        <f t="shared" si="0"/>
        <v>Matched</v>
      </c>
      <c r="K29" s="2" t="str">
        <f t="shared" si="1"/>
        <v>Clean Record</v>
      </c>
    </row>
    <row r="30" spans="1:11" ht="16.8" x14ac:dyDescent="0.4">
      <c r="A30" s="2" t="str">
        <f>POS_Sales_Report!A30</f>
        <v>POS-1028</v>
      </c>
      <c r="B30" s="2" t="str">
        <f>POS_Sales_Report!B30</f>
        <v>REF-80028</v>
      </c>
      <c r="C30" s="2" t="str">
        <f>POS_Sales_Report!C30</f>
        <v>2026-08-02</v>
      </c>
      <c r="D30" s="2" t="str">
        <f>POS_Sales_Report!D30</f>
        <v>Ninja</v>
      </c>
      <c r="E30" s="3">
        <f>POS_Sales_Report!G30</f>
        <v>145.75</v>
      </c>
      <c r="F30" s="3">
        <f>IFERROR(INDEX(Delivery_Platform_Report!$E:$E,MATCH(B30,Delivery_Platform_Report!$A:$A,0)),0)</f>
        <v>145.75</v>
      </c>
      <c r="G30" s="3">
        <f>IFERROR(INDEX(Delivery_Platform_Report!$H:$H,MATCH(B30,Delivery_Platform_Report!$A:$A,0)),0)</f>
        <v>125.64</v>
      </c>
      <c r="H30" s="3">
        <f t="shared" si="2"/>
        <v>20.11</v>
      </c>
      <c r="I30" s="3">
        <f t="shared" si="3"/>
        <v>0</v>
      </c>
      <c r="J30" s="2" t="str">
        <f t="shared" si="0"/>
        <v>Matched</v>
      </c>
      <c r="K30" s="2" t="str">
        <f t="shared" si="1"/>
        <v>Clean Record</v>
      </c>
    </row>
    <row r="31" spans="1:11" ht="16.8" x14ac:dyDescent="0.4">
      <c r="A31" s="2" t="str">
        <f>POS_Sales_Report!A31</f>
        <v>POS-1029</v>
      </c>
      <c r="B31" s="2" t="str">
        <f>POS_Sales_Report!B31</f>
        <v>REF-80029</v>
      </c>
      <c r="C31" s="2" t="str">
        <f>POS_Sales_Report!C31</f>
        <v>2026-08-02</v>
      </c>
      <c r="D31" s="2" t="str">
        <f>POS_Sales_Report!D31</f>
        <v>Ninja</v>
      </c>
      <c r="E31" s="3">
        <f>POS_Sales_Report!G31</f>
        <v>118.18</v>
      </c>
      <c r="F31" s="3">
        <f>IFERROR(INDEX(Delivery_Platform_Report!$E:$E,MATCH(B31,Delivery_Platform_Report!$A:$A,0)),0)</f>
        <v>118.18</v>
      </c>
      <c r="G31" s="3">
        <f>IFERROR(INDEX(Delivery_Platform_Report!$H:$H,MATCH(B31,Delivery_Platform_Report!$A:$A,0)),0)</f>
        <v>101.87</v>
      </c>
      <c r="H31" s="3">
        <f t="shared" si="2"/>
        <v>16.310000000000002</v>
      </c>
      <c r="I31" s="3">
        <f t="shared" si="3"/>
        <v>0</v>
      </c>
      <c r="J31" s="2" t="str">
        <f t="shared" si="0"/>
        <v>Matched</v>
      </c>
      <c r="K31" s="2" t="str">
        <f t="shared" si="1"/>
        <v>Clean Record</v>
      </c>
    </row>
    <row r="32" spans="1:11" ht="16.8" x14ac:dyDescent="0.4">
      <c r="A32" s="2" t="str">
        <f>POS_Sales_Report!A32</f>
        <v>POS-1030</v>
      </c>
      <c r="B32" s="2" t="str">
        <f>POS_Sales_Report!B32</f>
        <v>REF-80030</v>
      </c>
      <c r="C32" s="2" t="str">
        <f>POS_Sales_Report!C32</f>
        <v>2026-08-02</v>
      </c>
      <c r="D32" s="2" t="str">
        <f>POS_Sales_Report!D32</f>
        <v>ToYou</v>
      </c>
      <c r="E32" s="3">
        <f>POS_Sales_Report!G32</f>
        <v>213.69</v>
      </c>
      <c r="F32" s="3">
        <f>IFERROR(INDEX(Delivery_Platform_Report!$E:$E,MATCH(B32,Delivery_Platform_Report!$A:$A,0)),0)</f>
        <v>0</v>
      </c>
      <c r="G32" s="3">
        <f>IFERROR(INDEX(Delivery_Platform_Report!$H:$H,MATCH(B32,Delivery_Platform_Report!$A:$A,0)),0)</f>
        <v>0</v>
      </c>
      <c r="H32" s="3">
        <f t="shared" si="2"/>
        <v>0</v>
      </c>
      <c r="I32" s="3">
        <f t="shared" si="3"/>
        <v>213.69</v>
      </c>
      <c r="J32" s="2" t="str">
        <f t="shared" si="0"/>
        <v>Missing in Platform</v>
      </c>
      <c r="K32" s="2" t="str">
        <f t="shared" si="1"/>
        <v>Uncollected Payout - Order Not Found</v>
      </c>
    </row>
    <row r="33" spans="1:11" ht="16.8" x14ac:dyDescent="0.4">
      <c r="A33" s="2" t="str">
        <f>POS_Sales_Report!A33</f>
        <v>POS-1031</v>
      </c>
      <c r="B33" s="2" t="str">
        <f>POS_Sales_Report!B33</f>
        <v>REF-80031</v>
      </c>
      <c r="C33" s="2" t="str">
        <f>POS_Sales_Report!C33</f>
        <v>2026-08-02</v>
      </c>
      <c r="D33" s="2" t="str">
        <f>POS_Sales_Report!D33</f>
        <v>Ninja</v>
      </c>
      <c r="E33" s="3">
        <f>POS_Sales_Report!G33</f>
        <v>244.47</v>
      </c>
      <c r="F33" s="3">
        <f>IFERROR(INDEX(Delivery_Platform_Report!$E:$E,MATCH(B33,Delivery_Platform_Report!$A:$A,0)),0)</f>
        <v>244.47</v>
      </c>
      <c r="G33" s="3">
        <f>IFERROR(INDEX(Delivery_Platform_Report!$H:$H,MATCH(B33,Delivery_Platform_Report!$A:$A,0)),0)</f>
        <v>210.73</v>
      </c>
      <c r="H33" s="3">
        <f t="shared" si="2"/>
        <v>33.740000000000009</v>
      </c>
      <c r="I33" s="3">
        <f t="shared" si="3"/>
        <v>0</v>
      </c>
      <c r="J33" s="2" t="str">
        <f t="shared" si="0"/>
        <v>Matched</v>
      </c>
      <c r="K33" s="2" t="str">
        <f t="shared" si="1"/>
        <v>Clean Record</v>
      </c>
    </row>
    <row r="34" spans="1:11" ht="16.8" x14ac:dyDescent="0.4">
      <c r="A34" s="2" t="str">
        <f>POS_Sales_Report!A34</f>
        <v>POS-1032</v>
      </c>
      <c r="B34" s="2" t="str">
        <f>POS_Sales_Report!B34</f>
        <v>REF-80032</v>
      </c>
      <c r="C34" s="2" t="str">
        <f>POS_Sales_Report!C34</f>
        <v>2026-08-03</v>
      </c>
      <c r="D34" s="2" t="str">
        <f>POS_Sales_Report!D34</f>
        <v>Ninja</v>
      </c>
      <c r="E34" s="3">
        <f>POS_Sales_Report!G34</f>
        <v>89.66</v>
      </c>
      <c r="F34" s="3">
        <f>IFERROR(INDEX(Delivery_Platform_Report!$E:$E,MATCH(B34,Delivery_Platform_Report!$A:$A,0)),0)</f>
        <v>89.66</v>
      </c>
      <c r="G34" s="3">
        <f>IFERROR(INDEX(Delivery_Platform_Report!$H:$H,MATCH(B34,Delivery_Platform_Report!$A:$A,0)),0)</f>
        <v>77.290000000000006</v>
      </c>
      <c r="H34" s="3">
        <f t="shared" si="2"/>
        <v>12.36999999999999</v>
      </c>
      <c r="I34" s="3">
        <f t="shared" si="3"/>
        <v>0</v>
      </c>
      <c r="J34" s="2" t="str">
        <f t="shared" si="0"/>
        <v>Matched</v>
      </c>
      <c r="K34" s="2" t="str">
        <f t="shared" si="1"/>
        <v>Clean Record</v>
      </c>
    </row>
    <row r="35" spans="1:11" ht="16.8" x14ac:dyDescent="0.4">
      <c r="A35" s="2" t="str">
        <f>POS_Sales_Report!A35</f>
        <v>POS-1033</v>
      </c>
      <c r="B35" s="2" t="str">
        <f>POS_Sales_Report!B35</f>
        <v>REF-80033</v>
      </c>
      <c r="C35" s="2" t="str">
        <f>POS_Sales_Report!C35</f>
        <v>2026-08-03</v>
      </c>
      <c r="D35" s="2" t="str">
        <f>POS_Sales_Report!D35</f>
        <v>Jahez</v>
      </c>
      <c r="E35" s="3">
        <f>POS_Sales_Report!G35</f>
        <v>93.72</v>
      </c>
      <c r="F35" s="3">
        <f>IFERROR(INDEX(Delivery_Platform_Report!$E:$E,MATCH(B35,Delivery_Platform_Report!$A:$A,0)),0)</f>
        <v>93.72</v>
      </c>
      <c r="G35" s="3">
        <f>IFERROR(INDEX(Delivery_Platform_Report!$H:$H,MATCH(B35,Delivery_Platform_Report!$A:$A,0)),0)</f>
        <v>74.319999999999993</v>
      </c>
      <c r="H35" s="3">
        <f t="shared" si="2"/>
        <v>19.400000000000006</v>
      </c>
      <c r="I35" s="3">
        <f t="shared" si="3"/>
        <v>0</v>
      </c>
      <c r="J35" s="2" t="str">
        <f t="shared" si="0"/>
        <v>Matched</v>
      </c>
      <c r="K35" s="2" t="str">
        <f t="shared" si="1"/>
        <v>Clean Record</v>
      </c>
    </row>
    <row r="36" spans="1:11" ht="16.8" x14ac:dyDescent="0.4">
      <c r="A36" s="2" t="str">
        <f>POS_Sales_Report!A36</f>
        <v>POS-1034</v>
      </c>
      <c r="B36" s="2" t="str">
        <f>POS_Sales_Report!B36</f>
        <v>REF-80034</v>
      </c>
      <c r="C36" s="2" t="str">
        <f>POS_Sales_Report!C36</f>
        <v>2026-08-03</v>
      </c>
      <c r="D36" s="2" t="str">
        <f>POS_Sales_Report!D36</f>
        <v>ToYou</v>
      </c>
      <c r="E36" s="3">
        <f>POS_Sales_Report!G36</f>
        <v>141.97999999999999</v>
      </c>
      <c r="F36" s="3">
        <f>IFERROR(INDEX(Delivery_Platform_Report!$E:$E,MATCH(B36,Delivery_Platform_Report!$A:$A,0)),0)</f>
        <v>141.97999999999999</v>
      </c>
      <c r="G36" s="3">
        <f>IFERROR(INDEX(Delivery_Platform_Report!$H:$H,MATCH(B36,Delivery_Platform_Report!$A:$A,0)),0)</f>
        <v>117.48</v>
      </c>
      <c r="H36" s="3">
        <f t="shared" si="2"/>
        <v>24.499999999999986</v>
      </c>
      <c r="I36" s="3">
        <f t="shared" si="3"/>
        <v>0</v>
      </c>
      <c r="J36" s="2" t="str">
        <f t="shared" si="0"/>
        <v>Matched</v>
      </c>
      <c r="K36" s="2" t="str">
        <f t="shared" si="1"/>
        <v>Clean Record</v>
      </c>
    </row>
    <row r="37" spans="1:11" ht="16.8" x14ac:dyDescent="0.4">
      <c r="A37" s="2" t="str">
        <f>POS_Sales_Report!A37</f>
        <v>POS-1035</v>
      </c>
      <c r="B37" s="2" t="str">
        <f>POS_Sales_Report!B37</f>
        <v>REF-80035</v>
      </c>
      <c r="C37" s="2" t="str">
        <f>POS_Sales_Report!C37</f>
        <v>2026-08-03</v>
      </c>
      <c r="D37" s="2" t="str">
        <f>POS_Sales_Report!D37</f>
        <v>Chefz</v>
      </c>
      <c r="E37" s="3">
        <f>POS_Sales_Report!G37</f>
        <v>120.75</v>
      </c>
      <c r="F37" s="3">
        <f>IFERROR(INDEX(Delivery_Platform_Report!$E:$E,MATCH(B37,Delivery_Platform_Report!$A:$A,0)),0)</f>
        <v>120.75</v>
      </c>
      <c r="G37" s="3">
        <f>IFERROR(INDEX(Delivery_Platform_Report!$H:$H,MATCH(B37,Delivery_Platform_Report!$A:$A,0)),0)</f>
        <v>90.21</v>
      </c>
      <c r="H37" s="3">
        <f t="shared" si="2"/>
        <v>30.540000000000006</v>
      </c>
      <c r="I37" s="3">
        <f t="shared" si="3"/>
        <v>0</v>
      </c>
      <c r="J37" s="2" t="str">
        <f t="shared" si="0"/>
        <v>Matched</v>
      </c>
      <c r="K37" s="2" t="str">
        <f t="shared" si="1"/>
        <v>Clean Record</v>
      </c>
    </row>
    <row r="38" spans="1:11" ht="16.8" x14ac:dyDescent="0.4">
      <c r="A38" s="2" t="str">
        <f>POS_Sales_Report!A38</f>
        <v>POS-1036</v>
      </c>
      <c r="B38" s="2" t="str">
        <f>POS_Sales_Report!B38</f>
        <v>REF-80036</v>
      </c>
      <c r="C38" s="2" t="str">
        <f>POS_Sales_Report!C38</f>
        <v>2026-08-03</v>
      </c>
      <c r="D38" s="2" t="str">
        <f>POS_Sales_Report!D38</f>
        <v>ToYou</v>
      </c>
      <c r="E38" s="3">
        <f>POS_Sales_Report!G38</f>
        <v>223.96</v>
      </c>
      <c r="F38" s="3">
        <f>IFERROR(INDEX(Delivery_Platform_Report!$E:$E,MATCH(B38,Delivery_Platform_Report!$A:$A,0)),0)</f>
        <v>223.96</v>
      </c>
      <c r="G38" s="3">
        <f>IFERROR(INDEX(Delivery_Platform_Report!$H:$H,MATCH(B38,Delivery_Platform_Report!$A:$A,0)),0)</f>
        <v>185.33</v>
      </c>
      <c r="H38" s="3">
        <f t="shared" si="2"/>
        <v>38.629999999999995</v>
      </c>
      <c r="I38" s="3">
        <f t="shared" si="3"/>
        <v>0</v>
      </c>
      <c r="J38" s="2" t="str">
        <f t="shared" si="0"/>
        <v>Matched</v>
      </c>
      <c r="K38" s="2" t="str">
        <f t="shared" si="1"/>
        <v>Clean Record</v>
      </c>
    </row>
    <row r="39" spans="1:11" ht="16.8" x14ac:dyDescent="0.4">
      <c r="A39" s="2" t="str">
        <f>POS_Sales_Report!A39</f>
        <v>POS-1037</v>
      </c>
      <c r="B39" s="2" t="str">
        <f>POS_Sales_Report!B39</f>
        <v>REF-80037</v>
      </c>
      <c r="C39" s="2" t="str">
        <f>POS_Sales_Report!C39</f>
        <v>2026-08-03</v>
      </c>
      <c r="D39" s="2" t="str">
        <f>POS_Sales_Report!D39</f>
        <v>Chefz</v>
      </c>
      <c r="E39" s="3">
        <f>POS_Sales_Report!G39</f>
        <v>69.25</v>
      </c>
      <c r="F39" s="3">
        <f>IFERROR(INDEX(Delivery_Platform_Report!$E:$E,MATCH(B39,Delivery_Platform_Report!$A:$A,0)),0)</f>
        <v>69.25</v>
      </c>
      <c r="G39" s="3">
        <f>IFERROR(INDEX(Delivery_Platform_Report!$H:$H,MATCH(B39,Delivery_Platform_Report!$A:$A,0)),0)</f>
        <v>51.72</v>
      </c>
      <c r="H39" s="3">
        <f t="shared" si="2"/>
        <v>17.53</v>
      </c>
      <c r="I39" s="3">
        <f t="shared" si="3"/>
        <v>0</v>
      </c>
      <c r="J39" s="2" t="str">
        <f t="shared" si="0"/>
        <v>Matched</v>
      </c>
      <c r="K39" s="2" t="str">
        <f t="shared" si="1"/>
        <v>Clean Record</v>
      </c>
    </row>
    <row r="40" spans="1:11" ht="16.8" x14ac:dyDescent="0.4">
      <c r="A40" s="2" t="str">
        <f>POS_Sales_Report!A40</f>
        <v>POS-1038</v>
      </c>
      <c r="B40" s="2" t="str">
        <f>POS_Sales_Report!B40</f>
        <v>REF-80038</v>
      </c>
      <c r="C40" s="2" t="str">
        <f>POS_Sales_Report!C40</f>
        <v>2026-08-03</v>
      </c>
      <c r="D40" s="2" t="str">
        <f>POS_Sales_Report!D40</f>
        <v>Jahez</v>
      </c>
      <c r="E40" s="3">
        <f>POS_Sales_Report!G40</f>
        <v>43.8</v>
      </c>
      <c r="F40" s="3">
        <f>IFERROR(INDEX(Delivery_Platform_Report!$E:$E,MATCH(B40,Delivery_Platform_Report!$A:$A,0)),0)</f>
        <v>43.8</v>
      </c>
      <c r="G40" s="3">
        <f>IFERROR(INDEX(Delivery_Platform_Report!$H:$H,MATCH(B40,Delivery_Platform_Report!$A:$A,0)),0)</f>
        <v>34.74</v>
      </c>
      <c r="H40" s="3">
        <f t="shared" si="2"/>
        <v>9.0599999999999952</v>
      </c>
      <c r="I40" s="3">
        <f t="shared" si="3"/>
        <v>0</v>
      </c>
      <c r="J40" s="2" t="str">
        <f t="shared" si="0"/>
        <v>Matched</v>
      </c>
      <c r="K40" s="2" t="str">
        <f t="shared" si="1"/>
        <v>Clean Record</v>
      </c>
    </row>
    <row r="41" spans="1:11" ht="16.8" x14ac:dyDescent="0.4">
      <c r="A41" s="2" t="str">
        <f>POS_Sales_Report!A41</f>
        <v>POS-1039</v>
      </c>
      <c r="B41" s="2" t="str">
        <f>POS_Sales_Report!B41</f>
        <v>REF-80039</v>
      </c>
      <c r="C41" s="2" t="str">
        <f>POS_Sales_Report!C41</f>
        <v>2026-08-03</v>
      </c>
      <c r="D41" s="2" t="str">
        <f>POS_Sales_Report!D41</f>
        <v>Hungerstation</v>
      </c>
      <c r="E41" s="3">
        <f>POS_Sales_Report!G41</f>
        <v>143.72</v>
      </c>
      <c r="F41" s="3">
        <f>IFERROR(INDEX(Delivery_Platform_Report!$E:$E,MATCH(B41,Delivery_Platform_Report!$A:$A,0)),0)</f>
        <v>143.72</v>
      </c>
      <c r="G41" s="3">
        <f>IFERROR(INDEX(Delivery_Platform_Report!$H:$H,MATCH(B41,Delivery_Platform_Report!$A:$A,0)),0)</f>
        <v>110.67</v>
      </c>
      <c r="H41" s="3">
        <f t="shared" si="2"/>
        <v>33.049999999999997</v>
      </c>
      <c r="I41" s="3">
        <f t="shared" si="3"/>
        <v>0</v>
      </c>
      <c r="J41" s="2" t="str">
        <f t="shared" si="0"/>
        <v>Matched</v>
      </c>
      <c r="K41" s="2" t="str">
        <f t="shared" si="1"/>
        <v>Clean Record</v>
      </c>
    </row>
    <row r="42" spans="1:11" ht="16.8" x14ac:dyDescent="0.4">
      <c r="A42" s="2" t="str">
        <f>POS_Sales_Report!A42</f>
        <v>POS-1040</v>
      </c>
      <c r="B42" s="2" t="str">
        <f>POS_Sales_Report!B42</f>
        <v>REF-80040</v>
      </c>
      <c r="C42" s="2" t="str">
        <f>POS_Sales_Report!C42</f>
        <v>2026-08-03</v>
      </c>
      <c r="D42" s="2" t="str">
        <f>POS_Sales_Report!D42</f>
        <v>Ninja</v>
      </c>
      <c r="E42" s="3">
        <f>POS_Sales_Report!G42</f>
        <v>77.55</v>
      </c>
      <c r="F42" s="3">
        <f>IFERROR(INDEX(Delivery_Platform_Report!$E:$E,MATCH(B42,Delivery_Platform_Report!$A:$A,0)),0)</f>
        <v>77.55</v>
      </c>
      <c r="G42" s="3">
        <f>IFERROR(INDEX(Delivery_Platform_Report!$H:$H,MATCH(B42,Delivery_Platform_Report!$A:$A,0)),0)</f>
        <v>66.84</v>
      </c>
      <c r="H42" s="3">
        <f t="shared" si="2"/>
        <v>10.709999999999994</v>
      </c>
      <c r="I42" s="3">
        <f t="shared" si="3"/>
        <v>0</v>
      </c>
      <c r="J42" s="2" t="str">
        <f t="shared" si="0"/>
        <v>Matched</v>
      </c>
      <c r="K42" s="2" t="str">
        <f t="shared" si="1"/>
        <v>Clean Record</v>
      </c>
    </row>
    <row r="43" spans="1:11" ht="16.8" x14ac:dyDescent="0.4">
      <c r="A43" s="2" t="str">
        <f>POS_Sales_Report!A43</f>
        <v>POS-1041</v>
      </c>
      <c r="B43" s="2" t="str">
        <f>POS_Sales_Report!B43</f>
        <v>REF-80041</v>
      </c>
      <c r="C43" s="2" t="str">
        <f>POS_Sales_Report!C43</f>
        <v>2026-08-03</v>
      </c>
      <c r="D43" s="2" t="str">
        <f>POS_Sales_Report!D43</f>
        <v>Jahez</v>
      </c>
      <c r="E43" s="3">
        <f>POS_Sales_Report!G43</f>
        <v>105.26</v>
      </c>
      <c r="F43" s="3">
        <f>IFERROR(INDEX(Delivery_Platform_Report!$E:$E,MATCH(B43,Delivery_Platform_Report!$A:$A,0)),0)</f>
        <v>105.26</v>
      </c>
      <c r="G43" s="3">
        <f>IFERROR(INDEX(Delivery_Platform_Report!$H:$H,MATCH(B43,Delivery_Platform_Report!$A:$A,0)),0)</f>
        <v>83.47</v>
      </c>
      <c r="H43" s="3">
        <f t="shared" si="2"/>
        <v>21.790000000000006</v>
      </c>
      <c r="I43" s="3">
        <f t="shared" si="3"/>
        <v>0</v>
      </c>
      <c r="J43" s="2" t="str">
        <f t="shared" si="0"/>
        <v>Matched</v>
      </c>
      <c r="K43" s="2" t="str">
        <f t="shared" si="1"/>
        <v>Clean Record</v>
      </c>
    </row>
    <row r="44" spans="1:11" ht="16.8" x14ac:dyDescent="0.4">
      <c r="A44" s="2" t="str">
        <f>POS_Sales_Report!A44</f>
        <v>POS-1042</v>
      </c>
      <c r="B44" s="2" t="str">
        <f>POS_Sales_Report!B44</f>
        <v>REF-80042</v>
      </c>
      <c r="C44" s="2" t="str">
        <f>POS_Sales_Report!C44</f>
        <v>2026-08-03</v>
      </c>
      <c r="D44" s="2" t="str">
        <f>POS_Sales_Report!D44</f>
        <v>Ninja</v>
      </c>
      <c r="E44" s="3">
        <f>POS_Sales_Report!G44</f>
        <v>196.28</v>
      </c>
      <c r="F44" s="3">
        <f>IFERROR(INDEX(Delivery_Platform_Report!$E:$E,MATCH(B44,Delivery_Platform_Report!$A:$A,0)),0)</f>
        <v>196.28</v>
      </c>
      <c r="G44" s="3">
        <f>IFERROR(INDEX(Delivery_Platform_Report!$H:$H,MATCH(B44,Delivery_Platform_Report!$A:$A,0)),0)</f>
        <v>169.2</v>
      </c>
      <c r="H44" s="3">
        <f t="shared" si="2"/>
        <v>27.080000000000013</v>
      </c>
      <c r="I44" s="3">
        <f t="shared" si="3"/>
        <v>0</v>
      </c>
      <c r="J44" s="2" t="str">
        <f t="shared" si="0"/>
        <v>Matched</v>
      </c>
      <c r="K44" s="2" t="str">
        <f t="shared" si="1"/>
        <v>Clean Record</v>
      </c>
    </row>
    <row r="45" spans="1:11" ht="16.8" x14ac:dyDescent="0.4">
      <c r="A45" s="2" t="str">
        <f>POS_Sales_Report!A45</f>
        <v>POS-1043</v>
      </c>
      <c r="B45" s="2" t="str">
        <f>POS_Sales_Report!B45</f>
        <v>REF-80043</v>
      </c>
      <c r="C45" s="2" t="str">
        <f>POS_Sales_Report!C45</f>
        <v>2026-08-03</v>
      </c>
      <c r="D45" s="2" t="str">
        <f>POS_Sales_Report!D45</f>
        <v>Hungerstation</v>
      </c>
      <c r="E45" s="3">
        <f>POS_Sales_Report!G45</f>
        <v>191.4</v>
      </c>
      <c r="F45" s="3">
        <f>IFERROR(INDEX(Delivery_Platform_Report!$E:$E,MATCH(B45,Delivery_Platform_Report!$A:$A,0)),0)</f>
        <v>191.4</v>
      </c>
      <c r="G45" s="3">
        <f>IFERROR(INDEX(Delivery_Platform_Report!$H:$H,MATCH(B45,Delivery_Platform_Report!$A:$A,0)),0)</f>
        <v>147.38</v>
      </c>
      <c r="H45" s="3">
        <f t="shared" si="2"/>
        <v>44.02000000000001</v>
      </c>
      <c r="I45" s="3">
        <f t="shared" si="3"/>
        <v>0</v>
      </c>
      <c r="J45" s="2" t="str">
        <f t="shared" si="0"/>
        <v>Matched</v>
      </c>
      <c r="K45" s="2" t="str">
        <f t="shared" si="1"/>
        <v>Clean Record</v>
      </c>
    </row>
    <row r="46" spans="1:11" ht="16.8" x14ac:dyDescent="0.4">
      <c r="A46" s="2" t="str">
        <f>POS_Sales_Report!A46</f>
        <v>POS-1044</v>
      </c>
      <c r="B46" s="2" t="str">
        <f>POS_Sales_Report!B46</f>
        <v>REF-80044</v>
      </c>
      <c r="C46" s="2" t="str">
        <f>POS_Sales_Report!C46</f>
        <v>2026-08-03</v>
      </c>
      <c r="D46" s="2" t="str">
        <f>POS_Sales_Report!D46</f>
        <v>Hungerstation</v>
      </c>
      <c r="E46" s="3">
        <f>POS_Sales_Report!G46</f>
        <v>104.69</v>
      </c>
      <c r="F46" s="3">
        <f>IFERROR(INDEX(Delivery_Platform_Report!$E:$E,MATCH(B46,Delivery_Platform_Report!$A:$A,0)),0)</f>
        <v>104.69</v>
      </c>
      <c r="G46" s="3">
        <f>IFERROR(INDEX(Delivery_Platform_Report!$H:$H,MATCH(B46,Delivery_Platform_Report!$A:$A,0)),0)</f>
        <v>80.61</v>
      </c>
      <c r="H46" s="3">
        <f t="shared" si="2"/>
        <v>24.08</v>
      </c>
      <c r="I46" s="3">
        <f t="shared" si="3"/>
        <v>0</v>
      </c>
      <c r="J46" s="2" t="str">
        <f t="shared" si="0"/>
        <v>Matched</v>
      </c>
      <c r="K46" s="2" t="str">
        <f t="shared" si="1"/>
        <v>Clean Record</v>
      </c>
    </row>
    <row r="47" spans="1:11" ht="16.8" x14ac:dyDescent="0.4">
      <c r="A47" s="2" t="str">
        <f>POS_Sales_Report!A47</f>
        <v>POS-1045</v>
      </c>
      <c r="B47" s="2" t="str">
        <f>POS_Sales_Report!B47</f>
        <v>REF-80045</v>
      </c>
      <c r="C47" s="2" t="str">
        <f>POS_Sales_Report!C47</f>
        <v>2026-08-03</v>
      </c>
      <c r="D47" s="2" t="str">
        <f>POS_Sales_Report!D47</f>
        <v>Jahez</v>
      </c>
      <c r="E47" s="3">
        <f>POS_Sales_Report!G47</f>
        <v>153.93</v>
      </c>
      <c r="F47" s="3">
        <f>IFERROR(INDEX(Delivery_Platform_Report!$E:$E,MATCH(B47,Delivery_Platform_Report!$A:$A,0)),0)</f>
        <v>0</v>
      </c>
      <c r="G47" s="3">
        <f>IFERROR(INDEX(Delivery_Platform_Report!$H:$H,MATCH(B47,Delivery_Platform_Report!$A:$A,0)),0)</f>
        <v>0</v>
      </c>
      <c r="H47" s="3">
        <f t="shared" si="2"/>
        <v>0</v>
      </c>
      <c r="I47" s="3">
        <f t="shared" si="3"/>
        <v>153.93</v>
      </c>
      <c r="J47" s="2" t="str">
        <f t="shared" si="0"/>
        <v>Missing in Platform</v>
      </c>
      <c r="K47" s="2" t="str">
        <f t="shared" si="1"/>
        <v>Uncollected Payout - Order Not Found</v>
      </c>
    </row>
    <row r="48" spans="1:11" ht="16.8" x14ac:dyDescent="0.4">
      <c r="A48" s="2" t="str">
        <f>POS_Sales_Report!A48</f>
        <v>POS-1046</v>
      </c>
      <c r="B48" s="2" t="str">
        <f>POS_Sales_Report!B48</f>
        <v>REF-80046</v>
      </c>
      <c r="C48" s="2" t="str">
        <f>POS_Sales_Report!C48</f>
        <v>2026-08-03</v>
      </c>
      <c r="D48" s="2" t="str">
        <f>POS_Sales_Report!D48</f>
        <v>Hungerstation</v>
      </c>
      <c r="E48" s="3">
        <f>POS_Sales_Report!G48</f>
        <v>132.16999999999999</v>
      </c>
      <c r="F48" s="3">
        <f>IFERROR(INDEX(Delivery_Platform_Report!$E:$E,MATCH(B48,Delivery_Platform_Report!$A:$A,0)),0)</f>
        <v>132.16999999999999</v>
      </c>
      <c r="G48" s="3">
        <f>IFERROR(INDEX(Delivery_Platform_Report!$H:$H,MATCH(B48,Delivery_Platform_Report!$A:$A,0)),0)</f>
        <v>101.78</v>
      </c>
      <c r="H48" s="3">
        <f t="shared" si="2"/>
        <v>30.389999999999986</v>
      </c>
      <c r="I48" s="3">
        <f t="shared" si="3"/>
        <v>0</v>
      </c>
      <c r="J48" s="2" t="str">
        <f t="shared" si="0"/>
        <v>Matched</v>
      </c>
      <c r="K48" s="2" t="str">
        <f t="shared" si="1"/>
        <v>Clean Record</v>
      </c>
    </row>
    <row r="49" spans="1:11" ht="16.8" x14ac:dyDescent="0.4">
      <c r="A49" s="2" t="str">
        <f>POS_Sales_Report!A49</f>
        <v>POS-1047</v>
      </c>
      <c r="B49" s="2" t="str">
        <f>POS_Sales_Report!B49</f>
        <v>REF-80047</v>
      </c>
      <c r="C49" s="2" t="str">
        <f>POS_Sales_Report!C49</f>
        <v>2026-08-04</v>
      </c>
      <c r="D49" s="2" t="str">
        <f>POS_Sales_Report!D49</f>
        <v>Chefz</v>
      </c>
      <c r="E49" s="3">
        <f>POS_Sales_Report!G49</f>
        <v>156.27000000000001</v>
      </c>
      <c r="F49" s="3">
        <f>IFERROR(INDEX(Delivery_Platform_Report!$E:$E,MATCH(B49,Delivery_Platform_Report!$A:$A,0)),0)</f>
        <v>156.27000000000001</v>
      </c>
      <c r="G49" s="3">
        <f>IFERROR(INDEX(Delivery_Platform_Report!$H:$H,MATCH(B49,Delivery_Platform_Report!$A:$A,0)),0)</f>
        <v>116.73</v>
      </c>
      <c r="H49" s="3">
        <f t="shared" si="2"/>
        <v>39.540000000000006</v>
      </c>
      <c r="I49" s="3">
        <f t="shared" si="3"/>
        <v>0</v>
      </c>
      <c r="J49" s="2" t="str">
        <f t="shared" si="0"/>
        <v>Matched</v>
      </c>
      <c r="K49" s="2" t="str">
        <f t="shared" si="1"/>
        <v>Clean Record</v>
      </c>
    </row>
    <row r="50" spans="1:11" ht="16.8" x14ac:dyDescent="0.4">
      <c r="A50" s="2" t="str">
        <f>POS_Sales_Report!A50</f>
        <v>POS-1048</v>
      </c>
      <c r="B50" s="2" t="str">
        <f>POS_Sales_Report!B50</f>
        <v>REF-80048</v>
      </c>
      <c r="C50" s="2" t="str">
        <f>POS_Sales_Report!C50</f>
        <v>2026-08-04</v>
      </c>
      <c r="D50" s="2" t="str">
        <f>POS_Sales_Report!D50</f>
        <v>Hungerstation</v>
      </c>
      <c r="E50" s="3">
        <f>POS_Sales_Report!G50</f>
        <v>92.6</v>
      </c>
      <c r="F50" s="3">
        <f>IFERROR(INDEX(Delivery_Platform_Report!$E:$E,MATCH(B50,Delivery_Platform_Report!$A:$A,0)),0)</f>
        <v>92.6</v>
      </c>
      <c r="G50" s="3">
        <f>IFERROR(INDEX(Delivery_Platform_Report!$H:$H,MATCH(B50,Delivery_Platform_Report!$A:$A,0)),0)</f>
        <v>71.3</v>
      </c>
      <c r="H50" s="3">
        <f t="shared" si="2"/>
        <v>21.299999999999997</v>
      </c>
      <c r="I50" s="3">
        <f t="shared" si="3"/>
        <v>0</v>
      </c>
      <c r="J50" s="2" t="str">
        <f t="shared" si="0"/>
        <v>Matched</v>
      </c>
      <c r="K50" s="2" t="str">
        <f t="shared" si="1"/>
        <v>Clean Record</v>
      </c>
    </row>
    <row r="51" spans="1:11" ht="16.8" x14ac:dyDescent="0.4">
      <c r="A51" s="2" t="str">
        <f>POS_Sales_Report!A51</f>
        <v>POS-1049</v>
      </c>
      <c r="B51" s="2" t="str">
        <f>POS_Sales_Report!B51</f>
        <v>REF-80049</v>
      </c>
      <c r="C51" s="2" t="str">
        <f>POS_Sales_Report!C51</f>
        <v>2026-08-04</v>
      </c>
      <c r="D51" s="2" t="str">
        <f>POS_Sales_Report!D51</f>
        <v>Ninja</v>
      </c>
      <c r="E51" s="3">
        <f>POS_Sales_Report!G51</f>
        <v>147.47999999999999</v>
      </c>
      <c r="F51" s="3">
        <f>IFERROR(INDEX(Delivery_Platform_Report!$E:$E,MATCH(B51,Delivery_Platform_Report!$A:$A,0)),0)</f>
        <v>147.47999999999999</v>
      </c>
      <c r="G51" s="3">
        <f>IFERROR(INDEX(Delivery_Platform_Report!$H:$H,MATCH(B51,Delivery_Platform_Report!$A:$A,0)),0)</f>
        <v>127.12</v>
      </c>
      <c r="H51" s="3">
        <f t="shared" si="2"/>
        <v>20.359999999999985</v>
      </c>
      <c r="I51" s="3">
        <f t="shared" si="3"/>
        <v>0</v>
      </c>
      <c r="J51" s="2" t="str">
        <f t="shared" si="0"/>
        <v>Matched</v>
      </c>
      <c r="K51" s="2" t="str">
        <f t="shared" si="1"/>
        <v>Clean Record</v>
      </c>
    </row>
    <row r="52" spans="1:11" ht="16.8" x14ac:dyDescent="0.4">
      <c r="A52" s="2" t="str">
        <f>POS_Sales_Report!A52</f>
        <v>POS-1050</v>
      </c>
      <c r="B52" s="2" t="str">
        <f>POS_Sales_Report!B52</f>
        <v>REF-80050</v>
      </c>
      <c r="C52" s="2" t="str">
        <f>POS_Sales_Report!C52</f>
        <v>2026-08-04</v>
      </c>
      <c r="D52" s="2" t="str">
        <f>POS_Sales_Report!D52</f>
        <v>Ninja</v>
      </c>
      <c r="E52" s="3">
        <f>POS_Sales_Report!G52</f>
        <v>245.57</v>
      </c>
      <c r="F52" s="3">
        <f>IFERROR(INDEX(Delivery_Platform_Report!$E:$E,MATCH(B52,Delivery_Platform_Report!$A:$A,0)),0)</f>
        <v>245.57</v>
      </c>
      <c r="G52" s="3">
        <f>IFERROR(INDEX(Delivery_Platform_Report!$H:$H,MATCH(B52,Delivery_Platform_Report!$A:$A,0)),0)</f>
        <v>196.68</v>
      </c>
      <c r="H52" s="3">
        <f t="shared" si="2"/>
        <v>48.889999999999986</v>
      </c>
      <c r="I52" s="3">
        <f t="shared" si="3"/>
        <v>0</v>
      </c>
      <c r="J52" s="2" t="str">
        <f t="shared" si="0"/>
        <v>Matched</v>
      </c>
      <c r="K52" s="2" t="str">
        <f t="shared" si="1"/>
        <v>Clean Record</v>
      </c>
    </row>
    <row r="53" spans="1:11" ht="16.8" x14ac:dyDescent="0.4">
      <c r="A53" s="2" t="str">
        <f>POS_Sales_Report!A53</f>
        <v>POS-1051</v>
      </c>
      <c r="B53" s="2" t="str">
        <f>POS_Sales_Report!B53</f>
        <v>REF-80051</v>
      </c>
      <c r="C53" s="2" t="str">
        <f>POS_Sales_Report!C53</f>
        <v>2026-08-04</v>
      </c>
      <c r="D53" s="2" t="str">
        <f>POS_Sales_Report!D53</f>
        <v>Ninja</v>
      </c>
      <c r="E53" s="3">
        <f>POS_Sales_Report!G53</f>
        <v>142.22</v>
      </c>
      <c r="F53" s="3">
        <f>IFERROR(INDEX(Delivery_Platform_Report!$E:$E,MATCH(B53,Delivery_Platform_Report!$A:$A,0)),0)</f>
        <v>142.22</v>
      </c>
      <c r="G53" s="3">
        <f>IFERROR(INDEX(Delivery_Platform_Report!$H:$H,MATCH(B53,Delivery_Platform_Report!$A:$A,0)),0)</f>
        <v>122.59</v>
      </c>
      <c r="H53" s="3">
        <f t="shared" si="2"/>
        <v>19.629999999999995</v>
      </c>
      <c r="I53" s="3">
        <f t="shared" si="3"/>
        <v>0</v>
      </c>
      <c r="J53" s="2" t="str">
        <f t="shared" si="0"/>
        <v>Matched</v>
      </c>
      <c r="K53" s="2" t="str">
        <f t="shared" si="1"/>
        <v>Clean Record</v>
      </c>
    </row>
    <row r="54" spans="1:11" ht="16.8" x14ac:dyDescent="0.4">
      <c r="A54" s="2" t="str">
        <f>POS_Sales_Report!A54</f>
        <v>POS-1052</v>
      </c>
      <c r="B54" s="2" t="str">
        <f>POS_Sales_Report!B54</f>
        <v>REF-80052</v>
      </c>
      <c r="C54" s="2" t="str">
        <f>POS_Sales_Report!C54</f>
        <v>2026-08-04</v>
      </c>
      <c r="D54" s="2" t="str">
        <f>POS_Sales_Report!D54</f>
        <v>Ninja</v>
      </c>
      <c r="E54" s="3">
        <f>POS_Sales_Report!G54</f>
        <v>207.25</v>
      </c>
      <c r="F54" s="3">
        <f>IFERROR(INDEX(Delivery_Platform_Report!$E:$E,MATCH(B54,Delivery_Platform_Report!$A:$A,0)),0)</f>
        <v>207.25</v>
      </c>
      <c r="G54" s="3">
        <f>IFERROR(INDEX(Delivery_Platform_Report!$H:$H,MATCH(B54,Delivery_Platform_Report!$A:$A,0)),0)</f>
        <v>178.65</v>
      </c>
      <c r="H54" s="3">
        <f t="shared" si="2"/>
        <v>28.599999999999994</v>
      </c>
      <c r="I54" s="3">
        <f t="shared" si="3"/>
        <v>0</v>
      </c>
      <c r="J54" s="2" t="str">
        <f t="shared" si="0"/>
        <v>Matched</v>
      </c>
      <c r="K54" s="2" t="str">
        <f t="shared" si="1"/>
        <v>Clean Record</v>
      </c>
    </row>
    <row r="55" spans="1:11" ht="16.8" x14ac:dyDescent="0.4">
      <c r="A55" s="2" t="str">
        <f>POS_Sales_Report!A55</f>
        <v>POS-1053</v>
      </c>
      <c r="B55" s="2" t="str">
        <f>POS_Sales_Report!B55</f>
        <v>REF-80053</v>
      </c>
      <c r="C55" s="2" t="str">
        <f>POS_Sales_Report!C55</f>
        <v>2026-08-04</v>
      </c>
      <c r="D55" s="2" t="str">
        <f>POS_Sales_Report!D55</f>
        <v>Chefz</v>
      </c>
      <c r="E55" s="3">
        <f>POS_Sales_Report!G55</f>
        <v>131.22</v>
      </c>
      <c r="F55" s="3">
        <f>IFERROR(INDEX(Delivery_Platform_Report!$E:$E,MATCH(B55,Delivery_Platform_Report!$A:$A,0)),0)</f>
        <v>131.22</v>
      </c>
      <c r="G55" s="3">
        <f>IFERROR(INDEX(Delivery_Platform_Report!$H:$H,MATCH(B55,Delivery_Platform_Report!$A:$A,0)),0)</f>
        <v>98.02</v>
      </c>
      <c r="H55" s="3">
        <f t="shared" si="2"/>
        <v>33.200000000000003</v>
      </c>
      <c r="I55" s="3">
        <f t="shared" si="3"/>
        <v>0</v>
      </c>
      <c r="J55" s="2" t="str">
        <f t="shared" si="0"/>
        <v>Matched</v>
      </c>
      <c r="K55" s="2" t="str">
        <f t="shared" si="1"/>
        <v>Clean Record</v>
      </c>
    </row>
    <row r="56" spans="1:11" ht="16.8" x14ac:dyDescent="0.4">
      <c r="A56" s="2" t="str">
        <f>POS_Sales_Report!A56</f>
        <v>POS-1054</v>
      </c>
      <c r="B56" s="2" t="str">
        <f>POS_Sales_Report!B56</f>
        <v>REF-80054</v>
      </c>
      <c r="C56" s="2" t="str">
        <f>POS_Sales_Report!C56</f>
        <v>2026-08-04</v>
      </c>
      <c r="D56" s="2" t="str">
        <f>POS_Sales_Report!D56</f>
        <v>ToYou</v>
      </c>
      <c r="E56" s="3">
        <f>POS_Sales_Report!G56</f>
        <v>113.52</v>
      </c>
      <c r="F56" s="3">
        <f>IFERROR(INDEX(Delivery_Platform_Report!$E:$E,MATCH(B56,Delivery_Platform_Report!$A:$A,0)),0)</f>
        <v>113.52</v>
      </c>
      <c r="G56" s="3">
        <f>IFERROR(INDEX(Delivery_Platform_Report!$H:$H,MATCH(B56,Delivery_Platform_Report!$A:$A,0)),0)</f>
        <v>93.94</v>
      </c>
      <c r="H56" s="3">
        <f t="shared" si="2"/>
        <v>19.579999999999998</v>
      </c>
      <c r="I56" s="3">
        <f t="shared" si="3"/>
        <v>0</v>
      </c>
      <c r="J56" s="2" t="str">
        <f t="shared" si="0"/>
        <v>Matched</v>
      </c>
      <c r="K56" s="2" t="str">
        <f t="shared" si="1"/>
        <v>Clean Record</v>
      </c>
    </row>
    <row r="57" spans="1:11" ht="16.8" x14ac:dyDescent="0.4">
      <c r="A57" s="2" t="str">
        <f>POS_Sales_Report!A57</f>
        <v>POS-1055</v>
      </c>
      <c r="B57" s="2" t="str">
        <f>POS_Sales_Report!B57</f>
        <v>REF-80055</v>
      </c>
      <c r="C57" s="2" t="str">
        <f>POS_Sales_Report!C57</f>
        <v>2026-08-04</v>
      </c>
      <c r="D57" s="2" t="str">
        <f>POS_Sales_Report!D57</f>
        <v>Jahez</v>
      </c>
      <c r="E57" s="3">
        <f>POS_Sales_Report!G57</f>
        <v>157.91999999999999</v>
      </c>
      <c r="F57" s="3">
        <f>IFERROR(INDEX(Delivery_Platform_Report!$E:$E,MATCH(B57,Delivery_Platform_Report!$A:$A,0)),0)</f>
        <v>157.91999999999999</v>
      </c>
      <c r="G57" s="3">
        <f>IFERROR(INDEX(Delivery_Platform_Report!$H:$H,MATCH(B57,Delivery_Platform_Report!$A:$A,0)),0)</f>
        <v>125.23</v>
      </c>
      <c r="H57" s="3">
        <f t="shared" si="2"/>
        <v>32.689999999999984</v>
      </c>
      <c r="I57" s="3">
        <f t="shared" si="3"/>
        <v>0</v>
      </c>
      <c r="J57" s="2" t="str">
        <f t="shared" si="0"/>
        <v>Matched</v>
      </c>
      <c r="K57" s="2" t="str">
        <f t="shared" si="1"/>
        <v>Clean Record</v>
      </c>
    </row>
    <row r="58" spans="1:11" ht="16.8" x14ac:dyDescent="0.4">
      <c r="A58" s="2" t="str">
        <f>POS_Sales_Report!A58</f>
        <v>POS-1056</v>
      </c>
      <c r="B58" s="2" t="str">
        <f>POS_Sales_Report!B58</f>
        <v>REF-80056</v>
      </c>
      <c r="C58" s="2" t="str">
        <f>POS_Sales_Report!C58</f>
        <v>2026-08-04</v>
      </c>
      <c r="D58" s="2" t="str">
        <f>POS_Sales_Report!D58</f>
        <v>Ninja</v>
      </c>
      <c r="E58" s="3">
        <f>POS_Sales_Report!G58</f>
        <v>180.47</v>
      </c>
      <c r="F58" s="3">
        <f>IFERROR(INDEX(Delivery_Platform_Report!$E:$E,MATCH(B58,Delivery_Platform_Report!$A:$A,0)),0)</f>
        <v>180.47</v>
      </c>
      <c r="G58" s="3">
        <f>IFERROR(INDEX(Delivery_Platform_Report!$H:$H,MATCH(B58,Delivery_Platform_Report!$A:$A,0)),0)</f>
        <v>155.56</v>
      </c>
      <c r="H58" s="3">
        <f t="shared" si="2"/>
        <v>24.909999999999997</v>
      </c>
      <c r="I58" s="3">
        <f t="shared" si="3"/>
        <v>0</v>
      </c>
      <c r="J58" s="2" t="str">
        <f t="shared" si="0"/>
        <v>Matched</v>
      </c>
      <c r="K58" s="2" t="str">
        <f t="shared" si="1"/>
        <v>Clean Record</v>
      </c>
    </row>
    <row r="59" spans="1:11" ht="16.8" x14ac:dyDescent="0.4">
      <c r="A59" s="2" t="str">
        <f>POS_Sales_Report!A59</f>
        <v>POS-1057</v>
      </c>
      <c r="B59" s="2" t="str">
        <f>POS_Sales_Report!B59</f>
        <v>REF-80057</v>
      </c>
      <c r="C59" s="2" t="str">
        <f>POS_Sales_Report!C59</f>
        <v>2026-08-04</v>
      </c>
      <c r="D59" s="2" t="str">
        <f>POS_Sales_Report!D59</f>
        <v>Hungerstation</v>
      </c>
      <c r="E59" s="3">
        <f>POS_Sales_Report!G59</f>
        <v>221.48</v>
      </c>
      <c r="F59" s="3">
        <f>IFERROR(INDEX(Delivery_Platform_Report!$E:$E,MATCH(B59,Delivery_Platform_Report!$A:$A,0)),0)</f>
        <v>221.48</v>
      </c>
      <c r="G59" s="3">
        <f>IFERROR(INDEX(Delivery_Platform_Report!$H:$H,MATCH(B59,Delivery_Platform_Report!$A:$A,0)),0)</f>
        <v>170.54</v>
      </c>
      <c r="H59" s="3">
        <f t="shared" si="2"/>
        <v>50.94</v>
      </c>
      <c r="I59" s="3">
        <f t="shared" si="3"/>
        <v>0</v>
      </c>
      <c r="J59" s="2" t="str">
        <f t="shared" si="0"/>
        <v>Matched</v>
      </c>
      <c r="K59" s="2" t="str">
        <f t="shared" si="1"/>
        <v>Clean Record</v>
      </c>
    </row>
    <row r="60" spans="1:11" ht="16.8" x14ac:dyDescent="0.4">
      <c r="A60" s="2" t="str">
        <f>POS_Sales_Report!A60</f>
        <v>POS-1058</v>
      </c>
      <c r="B60" s="2" t="str">
        <f>POS_Sales_Report!B60</f>
        <v>REF-80058</v>
      </c>
      <c r="C60" s="2" t="str">
        <f>POS_Sales_Report!C60</f>
        <v>2026-08-04</v>
      </c>
      <c r="D60" s="2" t="str">
        <f>POS_Sales_Report!D60</f>
        <v>Ninja</v>
      </c>
      <c r="E60" s="3">
        <f>POS_Sales_Report!G60</f>
        <v>88.34</v>
      </c>
      <c r="F60" s="3">
        <f>IFERROR(INDEX(Delivery_Platform_Report!$E:$E,MATCH(B60,Delivery_Platform_Report!$A:$A,0)),0)</f>
        <v>88.34</v>
      </c>
      <c r="G60" s="3">
        <f>IFERROR(INDEX(Delivery_Platform_Report!$H:$H,MATCH(B60,Delivery_Platform_Report!$A:$A,0)),0)</f>
        <v>76.150000000000006</v>
      </c>
      <c r="H60" s="3">
        <f t="shared" si="2"/>
        <v>12.189999999999998</v>
      </c>
      <c r="I60" s="3">
        <f t="shared" si="3"/>
        <v>0</v>
      </c>
      <c r="J60" s="2" t="str">
        <f t="shared" si="0"/>
        <v>Matched</v>
      </c>
      <c r="K60" s="2" t="str">
        <f t="shared" si="1"/>
        <v>Clean Record</v>
      </c>
    </row>
    <row r="61" spans="1:11" ht="16.8" x14ac:dyDescent="0.4">
      <c r="A61" s="2" t="str">
        <f>POS_Sales_Report!A61</f>
        <v>POS-1059</v>
      </c>
      <c r="B61" s="2" t="str">
        <f>POS_Sales_Report!B61</f>
        <v>REF-80059</v>
      </c>
      <c r="C61" s="2" t="str">
        <f>POS_Sales_Report!C61</f>
        <v>2026-08-04</v>
      </c>
      <c r="D61" s="2" t="str">
        <f>POS_Sales_Report!D61</f>
        <v>Hungerstation</v>
      </c>
      <c r="E61" s="3">
        <f>POS_Sales_Report!G61</f>
        <v>144.83000000000001</v>
      </c>
      <c r="F61" s="3">
        <f>IFERROR(INDEX(Delivery_Platform_Report!$E:$E,MATCH(B61,Delivery_Platform_Report!$A:$A,0)),0)</f>
        <v>144.83000000000001</v>
      </c>
      <c r="G61" s="3">
        <f>IFERROR(INDEX(Delivery_Platform_Report!$H:$H,MATCH(B61,Delivery_Platform_Report!$A:$A,0)),0)</f>
        <v>111.51</v>
      </c>
      <c r="H61" s="3">
        <f t="shared" si="2"/>
        <v>33.320000000000007</v>
      </c>
      <c r="I61" s="3">
        <f t="shared" si="3"/>
        <v>0</v>
      </c>
      <c r="J61" s="2" t="str">
        <f t="shared" si="0"/>
        <v>Matched</v>
      </c>
      <c r="K61" s="2" t="str">
        <f t="shared" si="1"/>
        <v>Clean Record</v>
      </c>
    </row>
    <row r="62" spans="1:11" ht="16.8" x14ac:dyDescent="0.4">
      <c r="A62" s="2" t="str">
        <f>POS_Sales_Report!A62</f>
        <v>POS-1060</v>
      </c>
      <c r="B62" s="2" t="str">
        <f>POS_Sales_Report!B62</f>
        <v>REF-80060</v>
      </c>
      <c r="C62" s="2" t="str">
        <f>POS_Sales_Report!C62</f>
        <v>2026-08-04</v>
      </c>
      <c r="D62" s="2" t="str">
        <f>POS_Sales_Report!D62</f>
        <v>Hungerstation</v>
      </c>
      <c r="E62" s="3">
        <f>POS_Sales_Report!G62</f>
        <v>160.12</v>
      </c>
      <c r="F62" s="3">
        <f>IFERROR(INDEX(Delivery_Platform_Report!$E:$E,MATCH(B62,Delivery_Platform_Report!$A:$A,0)),0)</f>
        <v>160.12</v>
      </c>
      <c r="G62" s="3">
        <f>IFERROR(INDEX(Delivery_Platform_Report!$H:$H,MATCH(B62,Delivery_Platform_Report!$A:$A,0)),0)</f>
        <v>123.3</v>
      </c>
      <c r="H62" s="3">
        <f t="shared" si="2"/>
        <v>36.820000000000007</v>
      </c>
      <c r="I62" s="3">
        <f t="shared" si="3"/>
        <v>0</v>
      </c>
      <c r="J62" s="2" t="str">
        <f t="shared" si="0"/>
        <v>Matched</v>
      </c>
      <c r="K62" s="2" t="str">
        <f t="shared" si="1"/>
        <v>Clean Record</v>
      </c>
    </row>
    <row r="63" spans="1:11" ht="16.8" x14ac:dyDescent="0.4">
      <c r="A63" s="2" t="str">
        <f>POS_Sales_Report!A63</f>
        <v>POS-1061</v>
      </c>
      <c r="B63" s="2" t="str">
        <f>POS_Sales_Report!B63</f>
        <v>REF-80061</v>
      </c>
      <c r="C63" s="2" t="str">
        <f>POS_Sales_Report!C63</f>
        <v>2026-08-04</v>
      </c>
      <c r="D63" s="2" t="str">
        <f>POS_Sales_Report!D63</f>
        <v>Ninja</v>
      </c>
      <c r="E63" s="3">
        <f>POS_Sales_Report!G63</f>
        <v>201.4</v>
      </c>
      <c r="F63" s="3">
        <f>IFERROR(INDEX(Delivery_Platform_Report!$E:$E,MATCH(B63,Delivery_Platform_Report!$A:$A,0)),0)</f>
        <v>201.4</v>
      </c>
      <c r="G63" s="3">
        <f>IFERROR(INDEX(Delivery_Platform_Report!$H:$H,MATCH(B63,Delivery_Platform_Report!$A:$A,0)),0)</f>
        <v>173.6</v>
      </c>
      <c r="H63" s="3">
        <f t="shared" si="2"/>
        <v>27.800000000000011</v>
      </c>
      <c r="I63" s="3">
        <f t="shared" si="3"/>
        <v>0</v>
      </c>
      <c r="J63" s="2" t="str">
        <f t="shared" si="0"/>
        <v>Matched</v>
      </c>
      <c r="K63" s="2" t="str">
        <f t="shared" si="1"/>
        <v>Clean Record</v>
      </c>
    </row>
    <row r="64" spans="1:11" ht="16.8" x14ac:dyDescent="0.4">
      <c r="A64" s="2" t="str">
        <f>POS_Sales_Report!A64</f>
        <v>POS-1062</v>
      </c>
      <c r="B64" s="2" t="str">
        <f>POS_Sales_Report!B64</f>
        <v>REF-80062</v>
      </c>
      <c r="C64" s="2" t="str">
        <f>POS_Sales_Report!C64</f>
        <v>2026-08-04</v>
      </c>
      <c r="D64" s="2" t="str">
        <f>POS_Sales_Report!D64</f>
        <v>Chefz</v>
      </c>
      <c r="E64" s="3">
        <f>POS_Sales_Report!G64</f>
        <v>44.239999999999988</v>
      </c>
      <c r="F64" s="3">
        <f>IFERROR(INDEX(Delivery_Platform_Report!$E:$E,MATCH(B64,Delivery_Platform_Report!$A:$A,0)),0)</f>
        <v>44.239999999999988</v>
      </c>
      <c r="G64" s="3">
        <f>IFERROR(INDEX(Delivery_Platform_Report!$H:$H,MATCH(B64,Delivery_Platform_Report!$A:$A,0)),0)</f>
        <v>33.049999999999997</v>
      </c>
      <c r="H64" s="3">
        <f t="shared" si="2"/>
        <v>11.189999999999991</v>
      </c>
      <c r="I64" s="3">
        <f t="shared" si="3"/>
        <v>0</v>
      </c>
      <c r="J64" s="2" t="str">
        <f t="shared" si="0"/>
        <v>Matched</v>
      </c>
      <c r="K64" s="2" t="str">
        <f t="shared" si="1"/>
        <v>Clean Record</v>
      </c>
    </row>
    <row r="65" spans="1:11" ht="16.8" x14ac:dyDescent="0.4">
      <c r="A65" s="2" t="str">
        <f>POS_Sales_Report!A65</f>
        <v>POS-1063</v>
      </c>
      <c r="B65" s="2" t="str">
        <f>POS_Sales_Report!B65</f>
        <v>REF-80063</v>
      </c>
      <c r="C65" s="2" t="str">
        <f>POS_Sales_Report!C65</f>
        <v>2026-08-05</v>
      </c>
      <c r="D65" s="2" t="str">
        <f>POS_Sales_Report!D65</f>
        <v>Hungerstation</v>
      </c>
      <c r="E65" s="3">
        <f>POS_Sales_Report!G65</f>
        <v>223.97</v>
      </c>
      <c r="F65" s="3">
        <f>IFERROR(INDEX(Delivery_Platform_Report!$E:$E,MATCH(B65,Delivery_Platform_Report!$A:$A,0)),0)</f>
        <v>223.97</v>
      </c>
      <c r="G65" s="3">
        <f>IFERROR(INDEX(Delivery_Platform_Report!$H:$H,MATCH(B65,Delivery_Platform_Report!$A:$A,0)),0)</f>
        <v>172.46</v>
      </c>
      <c r="H65" s="3">
        <f t="shared" si="2"/>
        <v>51.509999999999991</v>
      </c>
      <c r="I65" s="3">
        <f t="shared" si="3"/>
        <v>0</v>
      </c>
      <c r="J65" s="2" t="str">
        <f t="shared" si="0"/>
        <v>Matched</v>
      </c>
      <c r="K65" s="2" t="str">
        <f t="shared" si="1"/>
        <v>Clean Record</v>
      </c>
    </row>
    <row r="66" spans="1:11" ht="16.8" x14ac:dyDescent="0.4">
      <c r="A66" s="2" t="str">
        <f>POS_Sales_Report!A66</f>
        <v>POS-1064</v>
      </c>
      <c r="B66" s="2" t="str">
        <f>POS_Sales_Report!B66</f>
        <v>REF-80064</v>
      </c>
      <c r="C66" s="2" t="str">
        <f>POS_Sales_Report!C66</f>
        <v>2026-08-05</v>
      </c>
      <c r="D66" s="2" t="str">
        <f>POS_Sales_Report!D66</f>
        <v>Hungerstation</v>
      </c>
      <c r="E66" s="3">
        <f>POS_Sales_Report!G66</f>
        <v>124.82</v>
      </c>
      <c r="F66" s="3">
        <f>IFERROR(INDEX(Delivery_Platform_Report!$E:$E,MATCH(B66,Delivery_Platform_Report!$A:$A,0)),0)</f>
        <v>124.82</v>
      </c>
      <c r="G66" s="3">
        <f>IFERROR(INDEX(Delivery_Platform_Report!$H:$H,MATCH(B66,Delivery_Platform_Report!$A:$A,0)),0)</f>
        <v>96.12</v>
      </c>
      <c r="H66" s="3">
        <f t="shared" si="2"/>
        <v>28.699999999999989</v>
      </c>
      <c r="I66" s="3">
        <f t="shared" si="3"/>
        <v>0</v>
      </c>
      <c r="J66" s="2" t="str">
        <f t="shared" ref="J66:J129" si="4">IF(F66=0, "Missing in Platform", IF(ABS(I66)&lt;0.01, "Matched", "Amount Mismatch"))</f>
        <v>Matched</v>
      </c>
      <c r="K66" s="2" t="str">
        <f t="shared" ref="K66:K129" si="5">IF(J66="Matched", "Clean Record", IF(J66="Missing in Platform", "Uncollected Payout - Order Not Found", "Payout Variance - Requires Settlement Audit"))</f>
        <v>Clean Record</v>
      </c>
    </row>
    <row r="67" spans="1:11" ht="16.8" x14ac:dyDescent="0.4">
      <c r="A67" s="2" t="str">
        <f>POS_Sales_Report!A67</f>
        <v>POS-1065</v>
      </c>
      <c r="B67" s="2" t="str">
        <f>POS_Sales_Report!B67</f>
        <v>REF-80065</v>
      </c>
      <c r="C67" s="2" t="str">
        <f>POS_Sales_Report!C67</f>
        <v>2026-08-05</v>
      </c>
      <c r="D67" s="2" t="str">
        <f>POS_Sales_Report!D67</f>
        <v>Ninja</v>
      </c>
      <c r="E67" s="3">
        <f>POS_Sales_Report!G67</f>
        <v>88.839999999999989</v>
      </c>
      <c r="F67" s="3">
        <f>IFERROR(INDEX(Delivery_Platform_Report!$E:$E,MATCH(B67,Delivery_Platform_Report!$A:$A,0)),0)</f>
        <v>88.839999999999989</v>
      </c>
      <c r="G67" s="3">
        <f>IFERROR(INDEX(Delivery_Platform_Report!$H:$H,MATCH(B67,Delivery_Platform_Report!$A:$A,0)),0)</f>
        <v>76.58</v>
      </c>
      <c r="H67" s="3">
        <f t="shared" ref="H67:H130" si="6">F67-G67</f>
        <v>12.259999999999991</v>
      </c>
      <c r="I67" s="3">
        <f t="shared" ref="I67:I130" si="7">E67-F67</f>
        <v>0</v>
      </c>
      <c r="J67" s="2" t="str">
        <f t="shared" si="4"/>
        <v>Matched</v>
      </c>
      <c r="K67" s="2" t="str">
        <f t="shared" si="5"/>
        <v>Clean Record</v>
      </c>
    </row>
    <row r="68" spans="1:11" ht="16.8" x14ac:dyDescent="0.4">
      <c r="A68" s="2" t="str">
        <f>POS_Sales_Report!A68</f>
        <v>POS-1066</v>
      </c>
      <c r="B68" s="2" t="str">
        <f>POS_Sales_Report!B68</f>
        <v>REF-80066</v>
      </c>
      <c r="C68" s="2" t="str">
        <f>POS_Sales_Report!C68</f>
        <v>2026-08-05</v>
      </c>
      <c r="D68" s="2" t="str">
        <f>POS_Sales_Report!D68</f>
        <v>Hungerstation</v>
      </c>
      <c r="E68" s="3">
        <f>POS_Sales_Report!G68</f>
        <v>225.53</v>
      </c>
      <c r="F68" s="3">
        <f>IFERROR(INDEX(Delivery_Platform_Report!$E:$E,MATCH(B68,Delivery_Platform_Report!$A:$A,0)),0)</f>
        <v>225.53</v>
      </c>
      <c r="G68" s="3">
        <f>IFERROR(INDEX(Delivery_Platform_Report!$H:$H,MATCH(B68,Delivery_Platform_Report!$A:$A,0)),0)</f>
        <v>173.65</v>
      </c>
      <c r="H68" s="3">
        <f t="shared" si="6"/>
        <v>51.879999999999995</v>
      </c>
      <c r="I68" s="3">
        <f t="shared" si="7"/>
        <v>0</v>
      </c>
      <c r="J68" s="2" t="str">
        <f t="shared" si="4"/>
        <v>Matched</v>
      </c>
      <c r="K68" s="2" t="str">
        <f t="shared" si="5"/>
        <v>Clean Record</v>
      </c>
    </row>
    <row r="69" spans="1:11" ht="16.8" x14ac:dyDescent="0.4">
      <c r="A69" s="2" t="str">
        <f>POS_Sales_Report!A69</f>
        <v>POS-1067</v>
      </c>
      <c r="B69" s="2" t="str">
        <f>POS_Sales_Report!B69</f>
        <v>REF-80067</v>
      </c>
      <c r="C69" s="2" t="str">
        <f>POS_Sales_Report!C69</f>
        <v>2026-08-05</v>
      </c>
      <c r="D69" s="2" t="str">
        <f>POS_Sales_Report!D69</f>
        <v>Hungerstation</v>
      </c>
      <c r="E69" s="3">
        <f>POS_Sales_Report!G69</f>
        <v>197.02</v>
      </c>
      <c r="F69" s="3">
        <f>IFERROR(INDEX(Delivery_Platform_Report!$E:$E,MATCH(B69,Delivery_Platform_Report!$A:$A,0)),0)</f>
        <v>197.02</v>
      </c>
      <c r="G69" s="3">
        <f>IFERROR(INDEX(Delivery_Platform_Report!$H:$H,MATCH(B69,Delivery_Platform_Report!$A:$A,0)),0)</f>
        <v>151.71</v>
      </c>
      <c r="H69" s="3">
        <f t="shared" si="6"/>
        <v>45.31</v>
      </c>
      <c r="I69" s="3">
        <f t="shared" si="7"/>
        <v>0</v>
      </c>
      <c r="J69" s="2" t="str">
        <f t="shared" si="4"/>
        <v>Matched</v>
      </c>
      <c r="K69" s="2" t="str">
        <f t="shared" si="5"/>
        <v>Clean Record</v>
      </c>
    </row>
    <row r="70" spans="1:11" ht="16.8" x14ac:dyDescent="0.4">
      <c r="A70" s="2" t="str">
        <f>POS_Sales_Report!A70</f>
        <v>POS-1068</v>
      </c>
      <c r="B70" s="2" t="str">
        <f>POS_Sales_Report!B70</f>
        <v>REF-80068</v>
      </c>
      <c r="C70" s="2" t="str">
        <f>POS_Sales_Report!C70</f>
        <v>2026-08-05</v>
      </c>
      <c r="D70" s="2" t="str">
        <f>POS_Sales_Report!D70</f>
        <v>Ninja</v>
      </c>
      <c r="E70" s="3">
        <f>POS_Sales_Report!G70</f>
        <v>240.15</v>
      </c>
      <c r="F70" s="3">
        <f>IFERROR(INDEX(Delivery_Platform_Report!$E:$E,MATCH(B70,Delivery_Platform_Report!$A:$A,0)),0)</f>
        <v>240.15</v>
      </c>
      <c r="G70" s="3">
        <f>IFERROR(INDEX(Delivery_Platform_Report!$H:$H,MATCH(B70,Delivery_Platform_Report!$A:$A,0)),0)</f>
        <v>207.01</v>
      </c>
      <c r="H70" s="3">
        <f t="shared" si="6"/>
        <v>33.140000000000015</v>
      </c>
      <c r="I70" s="3">
        <f t="shared" si="7"/>
        <v>0</v>
      </c>
      <c r="J70" s="2" t="str">
        <f t="shared" si="4"/>
        <v>Matched</v>
      </c>
      <c r="K70" s="2" t="str">
        <f t="shared" si="5"/>
        <v>Clean Record</v>
      </c>
    </row>
    <row r="71" spans="1:11" ht="16.8" x14ac:dyDescent="0.4">
      <c r="A71" s="2" t="str">
        <f>POS_Sales_Report!A71</f>
        <v>POS-1069</v>
      </c>
      <c r="B71" s="2" t="str">
        <f>POS_Sales_Report!B71</f>
        <v>REF-80069</v>
      </c>
      <c r="C71" s="2" t="str">
        <f>POS_Sales_Report!C71</f>
        <v>2026-08-05</v>
      </c>
      <c r="D71" s="2" t="str">
        <f>POS_Sales_Report!D71</f>
        <v>Ninja</v>
      </c>
      <c r="E71" s="3">
        <f>POS_Sales_Report!G71</f>
        <v>109.46</v>
      </c>
      <c r="F71" s="3">
        <f>IFERROR(INDEX(Delivery_Platform_Report!$E:$E,MATCH(B71,Delivery_Platform_Report!$A:$A,0)),0)</f>
        <v>109.46</v>
      </c>
      <c r="G71" s="3">
        <f>IFERROR(INDEX(Delivery_Platform_Report!$H:$H,MATCH(B71,Delivery_Platform_Report!$A:$A,0)),0)</f>
        <v>94.35</v>
      </c>
      <c r="H71" s="3">
        <f t="shared" si="6"/>
        <v>15.11</v>
      </c>
      <c r="I71" s="3">
        <f t="shared" si="7"/>
        <v>0</v>
      </c>
      <c r="J71" s="2" t="str">
        <f t="shared" si="4"/>
        <v>Matched</v>
      </c>
      <c r="K71" s="2" t="str">
        <f t="shared" si="5"/>
        <v>Clean Record</v>
      </c>
    </row>
    <row r="72" spans="1:11" ht="16.8" x14ac:dyDescent="0.4">
      <c r="A72" s="2" t="str">
        <f>POS_Sales_Report!A72</f>
        <v>POS-1070</v>
      </c>
      <c r="B72" s="2" t="str">
        <f>POS_Sales_Report!B72</f>
        <v>REF-80070</v>
      </c>
      <c r="C72" s="2" t="str">
        <f>POS_Sales_Report!C72</f>
        <v>2026-08-05</v>
      </c>
      <c r="D72" s="2" t="str">
        <f>POS_Sales_Report!D72</f>
        <v>Jahez</v>
      </c>
      <c r="E72" s="3">
        <f>POS_Sales_Report!G72</f>
        <v>156.08000000000001</v>
      </c>
      <c r="F72" s="3">
        <f>IFERROR(INDEX(Delivery_Platform_Report!$E:$E,MATCH(B72,Delivery_Platform_Report!$A:$A,0)),0)</f>
        <v>156.08000000000001</v>
      </c>
      <c r="G72" s="3">
        <f>IFERROR(INDEX(Delivery_Platform_Report!$H:$H,MATCH(B72,Delivery_Platform_Report!$A:$A,0)),0)</f>
        <v>123.78</v>
      </c>
      <c r="H72" s="3">
        <f t="shared" si="6"/>
        <v>32.300000000000011</v>
      </c>
      <c r="I72" s="3">
        <f t="shared" si="7"/>
        <v>0</v>
      </c>
      <c r="J72" s="2" t="str">
        <f t="shared" si="4"/>
        <v>Matched</v>
      </c>
      <c r="K72" s="2" t="str">
        <f t="shared" si="5"/>
        <v>Clean Record</v>
      </c>
    </row>
    <row r="73" spans="1:11" ht="16.8" x14ac:dyDescent="0.4">
      <c r="A73" s="2" t="str">
        <f>POS_Sales_Report!A73</f>
        <v>POS-1071</v>
      </c>
      <c r="B73" s="2" t="str">
        <f>POS_Sales_Report!B73</f>
        <v>REF-80071</v>
      </c>
      <c r="C73" s="2" t="str">
        <f>POS_Sales_Report!C73</f>
        <v>2026-08-05</v>
      </c>
      <c r="D73" s="2" t="str">
        <f>POS_Sales_Report!D73</f>
        <v>Chefz</v>
      </c>
      <c r="E73" s="3">
        <f>POS_Sales_Report!G73</f>
        <v>160.18</v>
      </c>
      <c r="F73" s="3">
        <f>IFERROR(INDEX(Delivery_Platform_Report!$E:$E,MATCH(B73,Delivery_Platform_Report!$A:$A,0)),0)</f>
        <v>160.18</v>
      </c>
      <c r="G73" s="3">
        <f>IFERROR(INDEX(Delivery_Platform_Report!$H:$H,MATCH(B73,Delivery_Platform_Report!$A:$A,0)),0)</f>
        <v>119.65</v>
      </c>
      <c r="H73" s="3">
        <f t="shared" si="6"/>
        <v>40.53</v>
      </c>
      <c r="I73" s="3">
        <f t="shared" si="7"/>
        <v>0</v>
      </c>
      <c r="J73" s="2" t="str">
        <f t="shared" si="4"/>
        <v>Matched</v>
      </c>
      <c r="K73" s="2" t="str">
        <f t="shared" si="5"/>
        <v>Clean Record</v>
      </c>
    </row>
    <row r="74" spans="1:11" ht="16.8" x14ac:dyDescent="0.4">
      <c r="A74" s="2" t="str">
        <f>POS_Sales_Report!A74</f>
        <v>POS-1072</v>
      </c>
      <c r="B74" s="2" t="str">
        <f>POS_Sales_Report!B74</f>
        <v>REF-80072</v>
      </c>
      <c r="C74" s="2" t="str">
        <f>POS_Sales_Report!C74</f>
        <v>2026-08-05</v>
      </c>
      <c r="D74" s="2" t="str">
        <f>POS_Sales_Report!D74</f>
        <v>Chefz</v>
      </c>
      <c r="E74" s="3">
        <f>POS_Sales_Report!G74</f>
        <v>245.87</v>
      </c>
      <c r="F74" s="3">
        <f>IFERROR(INDEX(Delivery_Platform_Report!$E:$E,MATCH(B74,Delivery_Platform_Report!$A:$A,0)),0)</f>
        <v>245.87</v>
      </c>
      <c r="G74" s="3">
        <f>IFERROR(INDEX(Delivery_Platform_Report!$H:$H,MATCH(B74,Delivery_Platform_Report!$A:$A,0)),0)</f>
        <v>183.67</v>
      </c>
      <c r="H74" s="3">
        <f t="shared" si="6"/>
        <v>62.200000000000017</v>
      </c>
      <c r="I74" s="3">
        <f t="shared" si="7"/>
        <v>0</v>
      </c>
      <c r="J74" s="2" t="str">
        <f t="shared" si="4"/>
        <v>Matched</v>
      </c>
      <c r="K74" s="2" t="str">
        <f t="shared" si="5"/>
        <v>Clean Record</v>
      </c>
    </row>
    <row r="75" spans="1:11" ht="16.8" x14ac:dyDescent="0.4">
      <c r="A75" s="2" t="str">
        <f>POS_Sales_Report!A75</f>
        <v>POS-1073</v>
      </c>
      <c r="B75" s="2" t="str">
        <f>POS_Sales_Report!B75</f>
        <v>REF-80073</v>
      </c>
      <c r="C75" s="2" t="str">
        <f>POS_Sales_Report!C75</f>
        <v>2026-08-05</v>
      </c>
      <c r="D75" s="2" t="str">
        <f>POS_Sales_Report!D75</f>
        <v>Hungerstation</v>
      </c>
      <c r="E75" s="3">
        <f>POS_Sales_Report!G75</f>
        <v>50.24</v>
      </c>
      <c r="F75" s="3">
        <f>IFERROR(INDEX(Delivery_Platform_Report!$E:$E,MATCH(B75,Delivery_Platform_Report!$A:$A,0)),0)</f>
        <v>50.24</v>
      </c>
      <c r="G75" s="3">
        <f>IFERROR(INDEX(Delivery_Platform_Report!$H:$H,MATCH(B75,Delivery_Platform_Report!$A:$A,0)),0)</f>
        <v>38.68</v>
      </c>
      <c r="H75" s="3">
        <f t="shared" si="6"/>
        <v>11.560000000000002</v>
      </c>
      <c r="I75" s="3">
        <f t="shared" si="7"/>
        <v>0</v>
      </c>
      <c r="J75" s="2" t="str">
        <f t="shared" si="4"/>
        <v>Matched</v>
      </c>
      <c r="K75" s="2" t="str">
        <f t="shared" si="5"/>
        <v>Clean Record</v>
      </c>
    </row>
    <row r="76" spans="1:11" ht="16.8" x14ac:dyDescent="0.4">
      <c r="A76" s="2" t="str">
        <f>POS_Sales_Report!A76</f>
        <v>POS-1074</v>
      </c>
      <c r="B76" s="2" t="str">
        <f>POS_Sales_Report!B76</f>
        <v>REF-80074</v>
      </c>
      <c r="C76" s="2" t="str">
        <f>POS_Sales_Report!C76</f>
        <v>2026-08-05</v>
      </c>
      <c r="D76" s="2" t="str">
        <f>POS_Sales_Report!D76</f>
        <v>Chefz</v>
      </c>
      <c r="E76" s="3">
        <f>POS_Sales_Report!G76</f>
        <v>93.78</v>
      </c>
      <c r="F76" s="3">
        <f>IFERROR(INDEX(Delivery_Platform_Report!$E:$E,MATCH(B76,Delivery_Platform_Report!$A:$A,0)),0)</f>
        <v>93.78</v>
      </c>
      <c r="G76" s="3">
        <f>IFERROR(INDEX(Delivery_Platform_Report!$H:$H,MATCH(B76,Delivery_Platform_Report!$A:$A,0)),0)</f>
        <v>70.06</v>
      </c>
      <c r="H76" s="3">
        <f t="shared" si="6"/>
        <v>23.72</v>
      </c>
      <c r="I76" s="3">
        <f t="shared" si="7"/>
        <v>0</v>
      </c>
      <c r="J76" s="2" t="str">
        <f t="shared" si="4"/>
        <v>Matched</v>
      </c>
      <c r="K76" s="2" t="str">
        <f t="shared" si="5"/>
        <v>Clean Record</v>
      </c>
    </row>
    <row r="77" spans="1:11" ht="16.8" x14ac:dyDescent="0.4">
      <c r="A77" s="2" t="str">
        <f>POS_Sales_Report!A77</f>
        <v>POS-1075</v>
      </c>
      <c r="B77" s="2" t="str">
        <f>POS_Sales_Report!B77</f>
        <v>REF-80075</v>
      </c>
      <c r="C77" s="2" t="str">
        <f>POS_Sales_Report!C77</f>
        <v>2026-08-05</v>
      </c>
      <c r="D77" s="2" t="str">
        <f>POS_Sales_Report!D77</f>
        <v>Hungerstation</v>
      </c>
      <c r="E77" s="3">
        <f>POS_Sales_Report!G77</f>
        <v>80.09</v>
      </c>
      <c r="F77" s="3">
        <f>IFERROR(INDEX(Delivery_Platform_Report!$E:$E,MATCH(B77,Delivery_Platform_Report!$A:$A,0)),0)</f>
        <v>80.09</v>
      </c>
      <c r="G77" s="3">
        <f>IFERROR(INDEX(Delivery_Platform_Report!$H:$H,MATCH(B77,Delivery_Platform_Report!$A:$A,0)),0)</f>
        <v>46.67</v>
      </c>
      <c r="H77" s="3">
        <f t="shared" si="6"/>
        <v>33.42</v>
      </c>
      <c r="I77" s="3">
        <f t="shared" si="7"/>
        <v>0</v>
      </c>
      <c r="J77" s="2" t="str">
        <f t="shared" si="4"/>
        <v>Matched</v>
      </c>
      <c r="K77" s="2" t="str">
        <f t="shared" si="5"/>
        <v>Clean Record</v>
      </c>
    </row>
    <row r="78" spans="1:11" ht="16.8" x14ac:dyDescent="0.4">
      <c r="A78" s="2" t="str">
        <f>POS_Sales_Report!A78</f>
        <v>POS-1076</v>
      </c>
      <c r="B78" s="2" t="str">
        <f>POS_Sales_Report!B78</f>
        <v>REF-80076</v>
      </c>
      <c r="C78" s="2" t="str">
        <f>POS_Sales_Report!C78</f>
        <v>2026-08-05</v>
      </c>
      <c r="D78" s="2" t="str">
        <f>POS_Sales_Report!D78</f>
        <v>Jahez</v>
      </c>
      <c r="E78" s="3">
        <f>POS_Sales_Report!G78</f>
        <v>96.38</v>
      </c>
      <c r="F78" s="3">
        <f>IFERROR(INDEX(Delivery_Platform_Report!$E:$E,MATCH(B78,Delivery_Platform_Report!$A:$A,0)),0)</f>
        <v>96.38</v>
      </c>
      <c r="G78" s="3">
        <f>IFERROR(INDEX(Delivery_Platform_Report!$H:$H,MATCH(B78,Delivery_Platform_Report!$A:$A,0)),0)</f>
        <v>76.430000000000007</v>
      </c>
      <c r="H78" s="3">
        <f t="shared" si="6"/>
        <v>19.949999999999989</v>
      </c>
      <c r="I78" s="3">
        <f t="shared" si="7"/>
        <v>0</v>
      </c>
      <c r="J78" s="2" t="str">
        <f t="shared" si="4"/>
        <v>Matched</v>
      </c>
      <c r="K78" s="2" t="str">
        <f t="shared" si="5"/>
        <v>Clean Record</v>
      </c>
    </row>
    <row r="79" spans="1:11" ht="16.8" x14ac:dyDescent="0.4">
      <c r="A79" s="2" t="str">
        <f>POS_Sales_Report!A79</f>
        <v>POS-1077</v>
      </c>
      <c r="B79" s="2" t="str">
        <f>POS_Sales_Report!B79</f>
        <v>REF-80077</v>
      </c>
      <c r="C79" s="2" t="str">
        <f>POS_Sales_Report!C79</f>
        <v>2026-08-05</v>
      </c>
      <c r="D79" s="2" t="str">
        <f>POS_Sales_Report!D79</f>
        <v>Ninja</v>
      </c>
      <c r="E79" s="3">
        <f>POS_Sales_Report!G79</f>
        <v>141.91</v>
      </c>
      <c r="F79" s="3">
        <f>IFERROR(INDEX(Delivery_Platform_Report!$E:$E,MATCH(B79,Delivery_Platform_Report!$A:$A,0)),0)</f>
        <v>141.91</v>
      </c>
      <c r="G79" s="3">
        <f>IFERROR(INDEX(Delivery_Platform_Report!$H:$H,MATCH(B79,Delivery_Platform_Report!$A:$A,0)),0)</f>
        <v>122.33</v>
      </c>
      <c r="H79" s="3">
        <f t="shared" si="6"/>
        <v>19.579999999999998</v>
      </c>
      <c r="I79" s="3">
        <f t="shared" si="7"/>
        <v>0</v>
      </c>
      <c r="J79" s="2" t="str">
        <f t="shared" si="4"/>
        <v>Matched</v>
      </c>
      <c r="K79" s="2" t="str">
        <f t="shared" si="5"/>
        <v>Clean Record</v>
      </c>
    </row>
    <row r="80" spans="1:11" ht="16.8" x14ac:dyDescent="0.4">
      <c r="A80" s="2" t="str">
        <f>POS_Sales_Report!A80</f>
        <v>POS-1078</v>
      </c>
      <c r="B80" s="2" t="str">
        <f>POS_Sales_Report!B80</f>
        <v>REF-80078</v>
      </c>
      <c r="C80" s="2" t="str">
        <f>POS_Sales_Report!C80</f>
        <v>2026-08-05</v>
      </c>
      <c r="D80" s="2" t="str">
        <f>POS_Sales_Report!D80</f>
        <v>Ninja</v>
      </c>
      <c r="E80" s="3">
        <f>POS_Sales_Report!G80</f>
        <v>106.43</v>
      </c>
      <c r="F80" s="3">
        <f>IFERROR(INDEX(Delivery_Platform_Report!$E:$E,MATCH(B80,Delivery_Platform_Report!$A:$A,0)),0)</f>
        <v>106.43</v>
      </c>
      <c r="G80" s="3">
        <f>IFERROR(INDEX(Delivery_Platform_Report!$H:$H,MATCH(B80,Delivery_Platform_Report!$A:$A,0)),0)</f>
        <v>91.74</v>
      </c>
      <c r="H80" s="3">
        <f t="shared" si="6"/>
        <v>14.690000000000012</v>
      </c>
      <c r="I80" s="3">
        <f t="shared" si="7"/>
        <v>0</v>
      </c>
      <c r="J80" s="2" t="str">
        <f t="shared" si="4"/>
        <v>Matched</v>
      </c>
      <c r="K80" s="2" t="str">
        <f t="shared" si="5"/>
        <v>Clean Record</v>
      </c>
    </row>
    <row r="81" spans="1:11" ht="16.8" x14ac:dyDescent="0.4">
      <c r="A81" s="2" t="str">
        <f>POS_Sales_Report!A81</f>
        <v>POS-1079</v>
      </c>
      <c r="B81" s="2" t="str">
        <f>POS_Sales_Report!B81</f>
        <v>REF-80079</v>
      </c>
      <c r="C81" s="2" t="str">
        <f>POS_Sales_Report!C81</f>
        <v>2026-08-06</v>
      </c>
      <c r="D81" s="2" t="str">
        <f>POS_Sales_Report!D81</f>
        <v>Ninja</v>
      </c>
      <c r="E81" s="3">
        <f>POS_Sales_Report!G81</f>
        <v>110.6</v>
      </c>
      <c r="F81" s="3">
        <f>IFERROR(INDEX(Delivery_Platform_Report!$E:$E,MATCH(B81,Delivery_Platform_Report!$A:$A,0)),0)</f>
        <v>110.6</v>
      </c>
      <c r="G81" s="3">
        <f>IFERROR(INDEX(Delivery_Platform_Report!$H:$H,MATCH(B81,Delivery_Platform_Report!$A:$A,0)),0)</f>
        <v>95.34</v>
      </c>
      <c r="H81" s="3">
        <f t="shared" si="6"/>
        <v>15.259999999999991</v>
      </c>
      <c r="I81" s="3">
        <f t="shared" si="7"/>
        <v>0</v>
      </c>
      <c r="J81" s="2" t="str">
        <f t="shared" si="4"/>
        <v>Matched</v>
      </c>
      <c r="K81" s="2" t="str">
        <f t="shared" si="5"/>
        <v>Clean Record</v>
      </c>
    </row>
    <row r="82" spans="1:11" ht="16.8" x14ac:dyDescent="0.4">
      <c r="A82" s="2" t="str">
        <f>POS_Sales_Report!A82</f>
        <v>POS-1080</v>
      </c>
      <c r="B82" s="2" t="str">
        <f>POS_Sales_Report!B82</f>
        <v>REF-80080</v>
      </c>
      <c r="C82" s="2" t="str">
        <f>POS_Sales_Report!C82</f>
        <v>2026-08-06</v>
      </c>
      <c r="D82" s="2" t="str">
        <f>POS_Sales_Report!D82</f>
        <v>Chefz</v>
      </c>
      <c r="E82" s="3">
        <f>POS_Sales_Report!G82</f>
        <v>217.28</v>
      </c>
      <c r="F82" s="3">
        <f>IFERROR(INDEX(Delivery_Platform_Report!$E:$E,MATCH(B82,Delivery_Platform_Report!$A:$A,0)),0)</f>
        <v>217.28</v>
      </c>
      <c r="G82" s="3">
        <f>IFERROR(INDEX(Delivery_Platform_Report!$H:$H,MATCH(B82,Delivery_Platform_Report!$A:$A,0)),0)</f>
        <v>162.31</v>
      </c>
      <c r="H82" s="3">
        <f t="shared" si="6"/>
        <v>54.97</v>
      </c>
      <c r="I82" s="3">
        <f t="shared" si="7"/>
        <v>0</v>
      </c>
      <c r="J82" s="2" t="str">
        <f t="shared" si="4"/>
        <v>Matched</v>
      </c>
      <c r="K82" s="2" t="str">
        <f t="shared" si="5"/>
        <v>Clean Record</v>
      </c>
    </row>
    <row r="83" spans="1:11" ht="16.8" x14ac:dyDescent="0.4">
      <c r="A83" s="2" t="str">
        <f>POS_Sales_Report!A83</f>
        <v>POS-1081</v>
      </c>
      <c r="B83" s="2" t="str">
        <f>POS_Sales_Report!B83</f>
        <v>REF-80081</v>
      </c>
      <c r="C83" s="2" t="str">
        <f>POS_Sales_Report!C83</f>
        <v>2026-08-06</v>
      </c>
      <c r="D83" s="2" t="str">
        <f>POS_Sales_Report!D83</f>
        <v>Jahez</v>
      </c>
      <c r="E83" s="3">
        <f>POS_Sales_Report!G83</f>
        <v>235.3</v>
      </c>
      <c r="F83" s="3">
        <f>IFERROR(INDEX(Delivery_Platform_Report!$E:$E,MATCH(B83,Delivery_Platform_Report!$A:$A,0)),0)</f>
        <v>235.3</v>
      </c>
      <c r="G83" s="3">
        <f>IFERROR(INDEX(Delivery_Platform_Report!$H:$H,MATCH(B83,Delivery_Platform_Report!$A:$A,0)),0)</f>
        <v>186.6</v>
      </c>
      <c r="H83" s="3">
        <f t="shared" si="6"/>
        <v>48.700000000000017</v>
      </c>
      <c r="I83" s="3">
        <f t="shared" si="7"/>
        <v>0</v>
      </c>
      <c r="J83" s="2" t="str">
        <f t="shared" si="4"/>
        <v>Matched</v>
      </c>
      <c r="K83" s="2" t="str">
        <f t="shared" si="5"/>
        <v>Clean Record</v>
      </c>
    </row>
    <row r="84" spans="1:11" ht="16.8" x14ac:dyDescent="0.4">
      <c r="A84" s="2" t="str">
        <f>POS_Sales_Report!A84</f>
        <v>POS-1082</v>
      </c>
      <c r="B84" s="2" t="str">
        <f>POS_Sales_Report!B84</f>
        <v>REF-80082</v>
      </c>
      <c r="C84" s="2" t="str">
        <f>POS_Sales_Report!C84</f>
        <v>2026-08-06</v>
      </c>
      <c r="D84" s="2" t="str">
        <f>POS_Sales_Report!D84</f>
        <v>Chefz</v>
      </c>
      <c r="E84" s="3">
        <f>POS_Sales_Report!G84</f>
        <v>54.79</v>
      </c>
      <c r="F84" s="3">
        <f>IFERROR(INDEX(Delivery_Platform_Report!$E:$E,MATCH(B84,Delivery_Platform_Report!$A:$A,0)),0)</f>
        <v>54.79</v>
      </c>
      <c r="G84" s="3">
        <f>IFERROR(INDEX(Delivery_Platform_Report!$H:$H,MATCH(B84,Delivery_Platform_Report!$A:$A,0)),0)</f>
        <v>40.93</v>
      </c>
      <c r="H84" s="3">
        <f t="shared" si="6"/>
        <v>13.86</v>
      </c>
      <c r="I84" s="3">
        <f t="shared" si="7"/>
        <v>0</v>
      </c>
      <c r="J84" s="2" t="str">
        <f t="shared" si="4"/>
        <v>Matched</v>
      </c>
      <c r="K84" s="2" t="str">
        <f t="shared" si="5"/>
        <v>Clean Record</v>
      </c>
    </row>
    <row r="85" spans="1:11" ht="16.8" x14ac:dyDescent="0.4">
      <c r="A85" s="2" t="str">
        <f>POS_Sales_Report!A85</f>
        <v>POS-1083</v>
      </c>
      <c r="B85" s="2" t="str">
        <f>POS_Sales_Report!B85</f>
        <v>REF-80083</v>
      </c>
      <c r="C85" s="2" t="str">
        <f>POS_Sales_Report!C85</f>
        <v>2026-08-06</v>
      </c>
      <c r="D85" s="2" t="str">
        <f>POS_Sales_Report!D85</f>
        <v>Chefz</v>
      </c>
      <c r="E85" s="3">
        <f>POS_Sales_Report!G85</f>
        <v>83.87</v>
      </c>
      <c r="F85" s="3">
        <f>IFERROR(INDEX(Delivery_Platform_Report!$E:$E,MATCH(B85,Delivery_Platform_Report!$A:$A,0)),0)</f>
        <v>83.87</v>
      </c>
      <c r="G85" s="3">
        <f>IFERROR(INDEX(Delivery_Platform_Report!$H:$H,MATCH(B85,Delivery_Platform_Report!$A:$A,0)),0)</f>
        <v>62.65</v>
      </c>
      <c r="H85" s="3">
        <f t="shared" si="6"/>
        <v>21.220000000000006</v>
      </c>
      <c r="I85" s="3">
        <f t="shared" si="7"/>
        <v>0</v>
      </c>
      <c r="J85" s="2" t="str">
        <f t="shared" si="4"/>
        <v>Matched</v>
      </c>
      <c r="K85" s="2" t="str">
        <f t="shared" si="5"/>
        <v>Clean Record</v>
      </c>
    </row>
    <row r="86" spans="1:11" ht="16.8" x14ac:dyDescent="0.4">
      <c r="A86" s="2" t="str">
        <f>POS_Sales_Report!A86</f>
        <v>POS-1084</v>
      </c>
      <c r="B86" s="2" t="str">
        <f>POS_Sales_Report!B86</f>
        <v>REF-80084</v>
      </c>
      <c r="C86" s="2" t="str">
        <f>POS_Sales_Report!C86</f>
        <v>2026-08-06</v>
      </c>
      <c r="D86" s="2" t="str">
        <f>POS_Sales_Report!D86</f>
        <v>Jahez</v>
      </c>
      <c r="E86" s="3">
        <f>POS_Sales_Report!G86</f>
        <v>180.94</v>
      </c>
      <c r="F86" s="3">
        <f>IFERROR(INDEX(Delivery_Platform_Report!$E:$E,MATCH(B86,Delivery_Platform_Report!$A:$A,0)),0)</f>
        <v>180.94</v>
      </c>
      <c r="G86" s="3">
        <f>IFERROR(INDEX(Delivery_Platform_Report!$H:$H,MATCH(B86,Delivery_Platform_Report!$A:$A,0)),0)</f>
        <v>143.47999999999999</v>
      </c>
      <c r="H86" s="3">
        <f t="shared" si="6"/>
        <v>37.460000000000008</v>
      </c>
      <c r="I86" s="3">
        <f t="shared" si="7"/>
        <v>0</v>
      </c>
      <c r="J86" s="2" t="str">
        <f t="shared" si="4"/>
        <v>Matched</v>
      </c>
      <c r="K86" s="2" t="str">
        <f t="shared" si="5"/>
        <v>Clean Record</v>
      </c>
    </row>
    <row r="87" spans="1:11" ht="16.8" x14ac:dyDescent="0.4">
      <c r="A87" s="2" t="str">
        <f>POS_Sales_Report!A87</f>
        <v>POS-1085</v>
      </c>
      <c r="B87" s="2" t="str">
        <f>POS_Sales_Report!B87</f>
        <v>REF-80085</v>
      </c>
      <c r="C87" s="2" t="str">
        <f>POS_Sales_Report!C87</f>
        <v>2026-08-06</v>
      </c>
      <c r="D87" s="2" t="str">
        <f>POS_Sales_Report!D87</f>
        <v>Jahez</v>
      </c>
      <c r="E87" s="3">
        <f>POS_Sales_Report!G87</f>
        <v>115.32</v>
      </c>
      <c r="F87" s="3">
        <f>IFERROR(INDEX(Delivery_Platform_Report!$E:$E,MATCH(B87,Delivery_Platform_Report!$A:$A,0)),0)</f>
        <v>115.32</v>
      </c>
      <c r="G87" s="3">
        <f>IFERROR(INDEX(Delivery_Platform_Report!$H:$H,MATCH(B87,Delivery_Platform_Report!$A:$A,0)),0)</f>
        <v>91.45</v>
      </c>
      <c r="H87" s="3">
        <f t="shared" si="6"/>
        <v>23.86999999999999</v>
      </c>
      <c r="I87" s="3">
        <f t="shared" si="7"/>
        <v>0</v>
      </c>
      <c r="J87" s="2" t="str">
        <f t="shared" si="4"/>
        <v>Matched</v>
      </c>
      <c r="K87" s="2" t="str">
        <f t="shared" si="5"/>
        <v>Clean Record</v>
      </c>
    </row>
    <row r="88" spans="1:11" ht="16.8" x14ac:dyDescent="0.4">
      <c r="A88" s="2" t="str">
        <f>POS_Sales_Report!A88</f>
        <v>POS-1086</v>
      </c>
      <c r="B88" s="2" t="str">
        <f>POS_Sales_Report!B88</f>
        <v>REF-80086</v>
      </c>
      <c r="C88" s="2" t="str">
        <f>POS_Sales_Report!C88</f>
        <v>2026-08-06</v>
      </c>
      <c r="D88" s="2" t="str">
        <f>POS_Sales_Report!D88</f>
        <v>Jahez</v>
      </c>
      <c r="E88" s="3">
        <f>POS_Sales_Report!G88</f>
        <v>84.03</v>
      </c>
      <c r="F88" s="3">
        <f>IFERROR(INDEX(Delivery_Platform_Report!$E:$E,MATCH(B88,Delivery_Platform_Report!$A:$A,0)),0)</f>
        <v>84.03</v>
      </c>
      <c r="G88" s="3">
        <f>IFERROR(INDEX(Delivery_Platform_Report!$H:$H,MATCH(B88,Delivery_Platform_Report!$A:$A,0)),0)</f>
        <v>66.63</v>
      </c>
      <c r="H88" s="3">
        <f t="shared" si="6"/>
        <v>17.400000000000006</v>
      </c>
      <c r="I88" s="3">
        <f t="shared" si="7"/>
        <v>0</v>
      </c>
      <c r="J88" s="2" t="str">
        <f t="shared" si="4"/>
        <v>Matched</v>
      </c>
      <c r="K88" s="2" t="str">
        <f t="shared" si="5"/>
        <v>Clean Record</v>
      </c>
    </row>
    <row r="89" spans="1:11" ht="16.8" x14ac:dyDescent="0.4">
      <c r="A89" s="2" t="str">
        <f>POS_Sales_Report!A89</f>
        <v>POS-1087</v>
      </c>
      <c r="B89" s="2" t="str">
        <f>POS_Sales_Report!B89</f>
        <v>REF-80087</v>
      </c>
      <c r="C89" s="2" t="str">
        <f>POS_Sales_Report!C89</f>
        <v>2026-08-06</v>
      </c>
      <c r="D89" s="2" t="str">
        <f>POS_Sales_Report!D89</f>
        <v>Jahez</v>
      </c>
      <c r="E89" s="3">
        <f>POS_Sales_Report!G89</f>
        <v>102.01</v>
      </c>
      <c r="F89" s="3">
        <f>IFERROR(INDEX(Delivery_Platform_Report!$E:$E,MATCH(B89,Delivery_Platform_Report!$A:$A,0)),0)</f>
        <v>102.01</v>
      </c>
      <c r="G89" s="3">
        <f>IFERROR(INDEX(Delivery_Platform_Report!$H:$H,MATCH(B89,Delivery_Platform_Report!$A:$A,0)),0)</f>
        <v>80.900000000000006</v>
      </c>
      <c r="H89" s="3">
        <f t="shared" si="6"/>
        <v>21.11</v>
      </c>
      <c r="I89" s="3">
        <f t="shared" si="7"/>
        <v>0</v>
      </c>
      <c r="J89" s="2" t="str">
        <f t="shared" si="4"/>
        <v>Matched</v>
      </c>
      <c r="K89" s="2" t="str">
        <f t="shared" si="5"/>
        <v>Clean Record</v>
      </c>
    </row>
    <row r="90" spans="1:11" ht="16.8" x14ac:dyDescent="0.4">
      <c r="A90" s="2" t="str">
        <f>POS_Sales_Report!A90</f>
        <v>POS-1088</v>
      </c>
      <c r="B90" s="2" t="str">
        <f>POS_Sales_Report!B90</f>
        <v>REF-80088</v>
      </c>
      <c r="C90" s="2" t="str">
        <f>POS_Sales_Report!C90</f>
        <v>2026-08-06</v>
      </c>
      <c r="D90" s="2" t="str">
        <f>POS_Sales_Report!D90</f>
        <v>Ninja</v>
      </c>
      <c r="E90" s="3">
        <f>POS_Sales_Report!G90</f>
        <v>107.74</v>
      </c>
      <c r="F90" s="3">
        <f>IFERROR(INDEX(Delivery_Platform_Report!$E:$E,MATCH(B90,Delivery_Platform_Report!$A:$A,0)),0)</f>
        <v>107.74</v>
      </c>
      <c r="G90" s="3">
        <f>IFERROR(INDEX(Delivery_Platform_Report!$H:$H,MATCH(B90,Delivery_Platform_Report!$A:$A,0)),0)</f>
        <v>92.87</v>
      </c>
      <c r="H90" s="3">
        <f t="shared" si="6"/>
        <v>14.86999999999999</v>
      </c>
      <c r="I90" s="3">
        <f t="shared" si="7"/>
        <v>0</v>
      </c>
      <c r="J90" s="2" t="str">
        <f t="shared" si="4"/>
        <v>Matched</v>
      </c>
      <c r="K90" s="2" t="str">
        <f t="shared" si="5"/>
        <v>Clean Record</v>
      </c>
    </row>
    <row r="91" spans="1:11" ht="16.8" x14ac:dyDescent="0.4">
      <c r="A91" s="2" t="str">
        <f>POS_Sales_Report!A91</f>
        <v>POS-1089</v>
      </c>
      <c r="B91" s="2" t="str">
        <f>POS_Sales_Report!B91</f>
        <v>REF-80089</v>
      </c>
      <c r="C91" s="2" t="str">
        <f>POS_Sales_Report!C91</f>
        <v>2026-08-06</v>
      </c>
      <c r="D91" s="2" t="str">
        <f>POS_Sales_Report!D91</f>
        <v>ToYou</v>
      </c>
      <c r="E91" s="3">
        <f>POS_Sales_Report!G91</f>
        <v>196.4</v>
      </c>
      <c r="F91" s="3">
        <f>IFERROR(INDEX(Delivery_Platform_Report!$E:$E,MATCH(B91,Delivery_Platform_Report!$A:$A,0)),0)</f>
        <v>196.4</v>
      </c>
      <c r="G91" s="3">
        <f>IFERROR(INDEX(Delivery_Platform_Report!$H:$H,MATCH(B91,Delivery_Platform_Report!$A:$A,0)),0)</f>
        <v>162.52000000000001</v>
      </c>
      <c r="H91" s="3">
        <f t="shared" si="6"/>
        <v>33.879999999999995</v>
      </c>
      <c r="I91" s="3">
        <f t="shared" si="7"/>
        <v>0</v>
      </c>
      <c r="J91" s="2" t="str">
        <f t="shared" si="4"/>
        <v>Matched</v>
      </c>
      <c r="K91" s="2" t="str">
        <f t="shared" si="5"/>
        <v>Clean Record</v>
      </c>
    </row>
    <row r="92" spans="1:11" ht="16.8" x14ac:dyDescent="0.4">
      <c r="A92" s="2" t="str">
        <f>POS_Sales_Report!A92</f>
        <v>POS-1090</v>
      </c>
      <c r="B92" s="2" t="str">
        <f>POS_Sales_Report!B92</f>
        <v>REF-80090</v>
      </c>
      <c r="C92" s="2" t="str">
        <f>POS_Sales_Report!C92</f>
        <v>2026-08-06</v>
      </c>
      <c r="D92" s="2" t="str">
        <f>POS_Sales_Report!D92</f>
        <v>ToYou</v>
      </c>
      <c r="E92" s="3">
        <f>POS_Sales_Report!G92</f>
        <v>61.82</v>
      </c>
      <c r="F92" s="3">
        <f>IFERROR(INDEX(Delivery_Platform_Report!$E:$E,MATCH(B92,Delivery_Platform_Report!$A:$A,0)),0)</f>
        <v>61.82</v>
      </c>
      <c r="G92" s="3">
        <f>IFERROR(INDEX(Delivery_Platform_Report!$H:$H,MATCH(B92,Delivery_Platform_Report!$A:$A,0)),0)</f>
        <v>51.16</v>
      </c>
      <c r="H92" s="3">
        <f t="shared" si="6"/>
        <v>10.660000000000004</v>
      </c>
      <c r="I92" s="3">
        <f t="shared" si="7"/>
        <v>0</v>
      </c>
      <c r="J92" s="2" t="str">
        <f t="shared" si="4"/>
        <v>Matched</v>
      </c>
      <c r="K92" s="2" t="str">
        <f t="shared" si="5"/>
        <v>Clean Record</v>
      </c>
    </row>
    <row r="93" spans="1:11" ht="16.8" x14ac:dyDescent="0.4">
      <c r="A93" s="2" t="str">
        <f>POS_Sales_Report!A93</f>
        <v>POS-1091</v>
      </c>
      <c r="B93" s="2" t="str">
        <f>POS_Sales_Report!B93</f>
        <v>REF-80091</v>
      </c>
      <c r="C93" s="2" t="str">
        <f>POS_Sales_Report!C93</f>
        <v>2026-08-06</v>
      </c>
      <c r="D93" s="2" t="str">
        <f>POS_Sales_Report!D93</f>
        <v>Jahez</v>
      </c>
      <c r="E93" s="3">
        <f>POS_Sales_Report!G93</f>
        <v>169.98</v>
      </c>
      <c r="F93" s="3">
        <f>IFERROR(INDEX(Delivery_Platform_Report!$E:$E,MATCH(B93,Delivery_Platform_Report!$A:$A,0)),0)</f>
        <v>169.98</v>
      </c>
      <c r="G93" s="3">
        <f>IFERROR(INDEX(Delivery_Platform_Report!$H:$H,MATCH(B93,Delivery_Platform_Report!$A:$A,0)),0)</f>
        <v>134.79</v>
      </c>
      <c r="H93" s="3">
        <f t="shared" si="6"/>
        <v>35.19</v>
      </c>
      <c r="I93" s="3">
        <f t="shared" si="7"/>
        <v>0</v>
      </c>
      <c r="J93" s="2" t="str">
        <f t="shared" si="4"/>
        <v>Matched</v>
      </c>
      <c r="K93" s="2" t="str">
        <f t="shared" si="5"/>
        <v>Clean Record</v>
      </c>
    </row>
    <row r="94" spans="1:11" ht="16.8" x14ac:dyDescent="0.4">
      <c r="A94" s="2" t="str">
        <f>POS_Sales_Report!A94</f>
        <v>POS-1092</v>
      </c>
      <c r="B94" s="2" t="str">
        <f>POS_Sales_Report!B94</f>
        <v>REF-80092</v>
      </c>
      <c r="C94" s="2" t="str">
        <f>POS_Sales_Report!C94</f>
        <v>2026-08-06</v>
      </c>
      <c r="D94" s="2" t="str">
        <f>POS_Sales_Report!D94</f>
        <v>ToYou</v>
      </c>
      <c r="E94" s="3">
        <f>POS_Sales_Report!G94</f>
        <v>156.09</v>
      </c>
      <c r="F94" s="3">
        <f>IFERROR(INDEX(Delivery_Platform_Report!$E:$E,MATCH(B94,Delivery_Platform_Report!$A:$A,0)),0)</f>
        <v>156.09</v>
      </c>
      <c r="G94" s="3">
        <f>IFERROR(INDEX(Delivery_Platform_Report!$H:$H,MATCH(B94,Delivery_Platform_Report!$A:$A,0)),0)</f>
        <v>129.16999999999999</v>
      </c>
      <c r="H94" s="3">
        <f t="shared" si="6"/>
        <v>26.920000000000016</v>
      </c>
      <c r="I94" s="3">
        <f t="shared" si="7"/>
        <v>0</v>
      </c>
      <c r="J94" s="2" t="str">
        <f t="shared" si="4"/>
        <v>Matched</v>
      </c>
      <c r="K94" s="2" t="str">
        <f t="shared" si="5"/>
        <v>Clean Record</v>
      </c>
    </row>
    <row r="95" spans="1:11" ht="16.8" x14ac:dyDescent="0.4">
      <c r="A95" s="2" t="str">
        <f>POS_Sales_Report!A95</f>
        <v>POS-1093</v>
      </c>
      <c r="B95" s="2" t="str">
        <f>POS_Sales_Report!B95</f>
        <v>REF-80093</v>
      </c>
      <c r="C95" s="2" t="str">
        <f>POS_Sales_Report!C95</f>
        <v>2026-08-06</v>
      </c>
      <c r="D95" s="2" t="str">
        <f>POS_Sales_Report!D95</f>
        <v>ToYou</v>
      </c>
      <c r="E95" s="3">
        <f>POS_Sales_Report!G95</f>
        <v>102.27</v>
      </c>
      <c r="F95" s="3">
        <f>IFERROR(INDEX(Delivery_Platform_Report!$E:$E,MATCH(B95,Delivery_Platform_Report!$A:$A,0)),0)</f>
        <v>102.27</v>
      </c>
      <c r="G95" s="3">
        <f>IFERROR(INDEX(Delivery_Platform_Report!$H:$H,MATCH(B95,Delivery_Platform_Report!$A:$A,0)),0)</f>
        <v>84.63</v>
      </c>
      <c r="H95" s="3">
        <f t="shared" si="6"/>
        <v>17.64</v>
      </c>
      <c r="I95" s="3">
        <f t="shared" si="7"/>
        <v>0</v>
      </c>
      <c r="J95" s="2" t="str">
        <f t="shared" si="4"/>
        <v>Matched</v>
      </c>
      <c r="K95" s="2" t="str">
        <f t="shared" si="5"/>
        <v>Clean Record</v>
      </c>
    </row>
    <row r="96" spans="1:11" ht="16.8" x14ac:dyDescent="0.4">
      <c r="A96" s="2" t="str">
        <f>POS_Sales_Report!A96</f>
        <v>POS-1094</v>
      </c>
      <c r="B96" s="2" t="str">
        <f>POS_Sales_Report!B96</f>
        <v>REF-80094</v>
      </c>
      <c r="C96" s="2" t="str">
        <f>POS_Sales_Report!C96</f>
        <v>2026-08-07</v>
      </c>
      <c r="D96" s="2" t="str">
        <f>POS_Sales_Report!D96</f>
        <v>Jahez</v>
      </c>
      <c r="E96" s="3">
        <f>POS_Sales_Report!G96</f>
        <v>128.15</v>
      </c>
      <c r="F96" s="3">
        <f>IFERROR(INDEX(Delivery_Platform_Report!$E:$E,MATCH(B96,Delivery_Platform_Report!$A:$A,0)),0)</f>
        <v>128.15</v>
      </c>
      <c r="G96" s="3">
        <f>IFERROR(INDEX(Delivery_Platform_Report!$H:$H,MATCH(B96,Delivery_Platform_Report!$A:$A,0)),0)</f>
        <v>101.62</v>
      </c>
      <c r="H96" s="3">
        <f t="shared" si="6"/>
        <v>26.53</v>
      </c>
      <c r="I96" s="3">
        <f t="shared" si="7"/>
        <v>0</v>
      </c>
      <c r="J96" s="2" t="str">
        <f t="shared" si="4"/>
        <v>Matched</v>
      </c>
      <c r="K96" s="2" t="str">
        <f t="shared" si="5"/>
        <v>Clean Record</v>
      </c>
    </row>
    <row r="97" spans="1:11" ht="16.8" x14ac:dyDescent="0.4">
      <c r="A97" s="2" t="str">
        <f>POS_Sales_Report!A97</f>
        <v>POS-1095</v>
      </c>
      <c r="B97" s="2" t="str">
        <f>POS_Sales_Report!B97</f>
        <v>REF-80095</v>
      </c>
      <c r="C97" s="2" t="str">
        <f>POS_Sales_Report!C97</f>
        <v>2026-08-07</v>
      </c>
      <c r="D97" s="2" t="str">
        <f>POS_Sales_Report!D97</f>
        <v>ToYou</v>
      </c>
      <c r="E97" s="3">
        <f>POS_Sales_Report!G97</f>
        <v>93.8</v>
      </c>
      <c r="F97" s="3">
        <f>IFERROR(INDEX(Delivery_Platform_Report!$E:$E,MATCH(B97,Delivery_Platform_Report!$A:$A,0)),0)</f>
        <v>93.8</v>
      </c>
      <c r="G97" s="3">
        <f>IFERROR(INDEX(Delivery_Platform_Report!$H:$H,MATCH(B97,Delivery_Platform_Report!$A:$A,0)),0)</f>
        <v>77.62</v>
      </c>
      <c r="H97" s="3">
        <f t="shared" si="6"/>
        <v>16.179999999999993</v>
      </c>
      <c r="I97" s="3">
        <f t="shared" si="7"/>
        <v>0</v>
      </c>
      <c r="J97" s="2" t="str">
        <f t="shared" si="4"/>
        <v>Matched</v>
      </c>
      <c r="K97" s="2" t="str">
        <f t="shared" si="5"/>
        <v>Clean Record</v>
      </c>
    </row>
    <row r="98" spans="1:11" ht="16.8" x14ac:dyDescent="0.4">
      <c r="A98" s="2" t="str">
        <f>POS_Sales_Report!A98</f>
        <v>POS-1096</v>
      </c>
      <c r="B98" s="2" t="str">
        <f>POS_Sales_Report!B98</f>
        <v>REF-80096</v>
      </c>
      <c r="C98" s="2" t="str">
        <f>POS_Sales_Report!C98</f>
        <v>2026-08-07</v>
      </c>
      <c r="D98" s="2" t="str">
        <f>POS_Sales_Report!D98</f>
        <v>Chefz</v>
      </c>
      <c r="E98" s="3">
        <f>POS_Sales_Report!G98</f>
        <v>168.42</v>
      </c>
      <c r="F98" s="3">
        <f>IFERROR(INDEX(Delivery_Platform_Report!$E:$E,MATCH(B98,Delivery_Platform_Report!$A:$A,0)),0)</f>
        <v>168.42</v>
      </c>
      <c r="G98" s="3">
        <f>IFERROR(INDEX(Delivery_Platform_Report!$H:$H,MATCH(B98,Delivery_Platform_Report!$A:$A,0)),0)</f>
        <v>125.81</v>
      </c>
      <c r="H98" s="3">
        <f t="shared" si="6"/>
        <v>42.609999999999985</v>
      </c>
      <c r="I98" s="3">
        <f t="shared" si="7"/>
        <v>0</v>
      </c>
      <c r="J98" s="2" t="str">
        <f t="shared" si="4"/>
        <v>Matched</v>
      </c>
      <c r="K98" s="2" t="str">
        <f t="shared" si="5"/>
        <v>Clean Record</v>
      </c>
    </row>
    <row r="99" spans="1:11" ht="16.8" x14ac:dyDescent="0.4">
      <c r="A99" s="2" t="str">
        <f>POS_Sales_Report!A99</f>
        <v>POS-1097</v>
      </c>
      <c r="B99" s="2" t="str">
        <f>POS_Sales_Report!B99</f>
        <v>REF-80097</v>
      </c>
      <c r="C99" s="2" t="str">
        <f>POS_Sales_Report!C99</f>
        <v>2026-08-07</v>
      </c>
      <c r="D99" s="2" t="str">
        <f>POS_Sales_Report!D99</f>
        <v>Hungerstation</v>
      </c>
      <c r="E99" s="3">
        <f>POS_Sales_Report!G99</f>
        <v>57.13</v>
      </c>
      <c r="F99" s="3">
        <f>IFERROR(INDEX(Delivery_Platform_Report!$E:$E,MATCH(B99,Delivery_Platform_Report!$A:$A,0)),0)</f>
        <v>57.13</v>
      </c>
      <c r="G99" s="3">
        <f>IFERROR(INDEX(Delivery_Platform_Report!$H:$H,MATCH(B99,Delivery_Platform_Report!$A:$A,0)),0)</f>
        <v>43.99</v>
      </c>
      <c r="H99" s="3">
        <f t="shared" si="6"/>
        <v>13.14</v>
      </c>
      <c r="I99" s="3">
        <f t="shared" si="7"/>
        <v>0</v>
      </c>
      <c r="J99" s="2" t="str">
        <f t="shared" si="4"/>
        <v>Matched</v>
      </c>
      <c r="K99" s="2" t="str">
        <f t="shared" si="5"/>
        <v>Clean Record</v>
      </c>
    </row>
    <row r="100" spans="1:11" ht="16.8" x14ac:dyDescent="0.4">
      <c r="A100" s="2" t="str">
        <f>POS_Sales_Report!A100</f>
        <v>POS-1098</v>
      </c>
      <c r="B100" s="2" t="str">
        <f>POS_Sales_Report!B100</f>
        <v>REF-80098</v>
      </c>
      <c r="C100" s="2" t="str">
        <f>POS_Sales_Report!C100</f>
        <v>2026-08-07</v>
      </c>
      <c r="D100" s="2" t="str">
        <f>POS_Sales_Report!D100</f>
        <v>Hungerstation</v>
      </c>
      <c r="E100" s="3">
        <f>POS_Sales_Report!G100</f>
        <v>41.09</v>
      </c>
      <c r="F100" s="3">
        <f>IFERROR(INDEX(Delivery_Platform_Report!$E:$E,MATCH(B100,Delivery_Platform_Report!$A:$A,0)),0)</f>
        <v>41.09</v>
      </c>
      <c r="G100" s="3">
        <f>IFERROR(INDEX(Delivery_Platform_Report!$H:$H,MATCH(B100,Delivery_Platform_Report!$A:$A,0)),0)</f>
        <v>31.64</v>
      </c>
      <c r="H100" s="3">
        <f t="shared" si="6"/>
        <v>9.4500000000000028</v>
      </c>
      <c r="I100" s="3">
        <f t="shared" si="7"/>
        <v>0</v>
      </c>
      <c r="J100" s="2" t="str">
        <f t="shared" si="4"/>
        <v>Matched</v>
      </c>
      <c r="K100" s="2" t="str">
        <f t="shared" si="5"/>
        <v>Clean Record</v>
      </c>
    </row>
    <row r="101" spans="1:11" ht="16.8" x14ac:dyDescent="0.4">
      <c r="A101" s="2" t="str">
        <f>POS_Sales_Report!A101</f>
        <v>POS-1099</v>
      </c>
      <c r="B101" s="2" t="str">
        <f>POS_Sales_Report!B101</f>
        <v>REF-80099</v>
      </c>
      <c r="C101" s="2" t="str">
        <f>POS_Sales_Report!C101</f>
        <v>2026-08-07</v>
      </c>
      <c r="D101" s="2" t="str">
        <f>POS_Sales_Report!D101</f>
        <v>Jahez</v>
      </c>
      <c r="E101" s="3">
        <f>POS_Sales_Report!G101</f>
        <v>171.86</v>
      </c>
      <c r="F101" s="3">
        <f>IFERROR(INDEX(Delivery_Platform_Report!$E:$E,MATCH(B101,Delivery_Platform_Report!$A:$A,0)),0)</f>
        <v>171.86</v>
      </c>
      <c r="G101" s="3">
        <f>IFERROR(INDEX(Delivery_Platform_Report!$H:$H,MATCH(B101,Delivery_Platform_Report!$A:$A,0)),0)</f>
        <v>136.29</v>
      </c>
      <c r="H101" s="3">
        <f t="shared" si="6"/>
        <v>35.570000000000022</v>
      </c>
      <c r="I101" s="3">
        <f t="shared" si="7"/>
        <v>0</v>
      </c>
      <c r="J101" s="2" t="str">
        <f t="shared" si="4"/>
        <v>Matched</v>
      </c>
      <c r="K101" s="2" t="str">
        <f t="shared" si="5"/>
        <v>Clean Record</v>
      </c>
    </row>
    <row r="102" spans="1:11" ht="16.8" x14ac:dyDescent="0.4">
      <c r="A102" s="2" t="str">
        <f>POS_Sales_Report!A102</f>
        <v>POS-1100</v>
      </c>
      <c r="B102" s="2" t="str">
        <f>POS_Sales_Report!B102</f>
        <v>REF-80100</v>
      </c>
      <c r="C102" s="2" t="str">
        <f>POS_Sales_Report!C102</f>
        <v>2026-08-07</v>
      </c>
      <c r="D102" s="2" t="str">
        <f>POS_Sales_Report!D102</f>
        <v>Ninja</v>
      </c>
      <c r="E102" s="3">
        <f>POS_Sales_Report!G102</f>
        <v>80.8</v>
      </c>
      <c r="F102" s="3">
        <f>IFERROR(INDEX(Delivery_Platform_Report!$E:$E,MATCH(B102,Delivery_Platform_Report!$A:$A,0)),0)</f>
        <v>80.8</v>
      </c>
      <c r="G102" s="3">
        <f>IFERROR(INDEX(Delivery_Platform_Report!$H:$H,MATCH(B102,Delivery_Platform_Report!$A:$A,0)),0)</f>
        <v>54.650000000000013</v>
      </c>
      <c r="H102" s="3">
        <f t="shared" si="6"/>
        <v>26.149999999999984</v>
      </c>
      <c r="I102" s="3">
        <f t="shared" si="7"/>
        <v>0</v>
      </c>
      <c r="J102" s="2" t="str">
        <f t="shared" si="4"/>
        <v>Matched</v>
      </c>
      <c r="K102" s="2" t="str">
        <f t="shared" si="5"/>
        <v>Clean Record</v>
      </c>
    </row>
    <row r="103" spans="1:11" ht="16.8" x14ac:dyDescent="0.4">
      <c r="A103" s="2" t="str">
        <f>POS_Sales_Report!A103</f>
        <v>POS-1101</v>
      </c>
      <c r="B103" s="2" t="str">
        <f>POS_Sales_Report!B103</f>
        <v>REF-80101</v>
      </c>
      <c r="C103" s="2" t="str">
        <f>POS_Sales_Report!C103</f>
        <v>2026-08-07</v>
      </c>
      <c r="D103" s="2" t="str">
        <f>POS_Sales_Report!D103</f>
        <v>Jahez</v>
      </c>
      <c r="E103" s="3">
        <f>POS_Sales_Report!G103</f>
        <v>54.9</v>
      </c>
      <c r="F103" s="3">
        <f>IFERROR(INDEX(Delivery_Platform_Report!$E:$E,MATCH(B103,Delivery_Platform_Report!$A:$A,0)),0)</f>
        <v>54.9</v>
      </c>
      <c r="G103" s="3">
        <f>IFERROR(INDEX(Delivery_Platform_Report!$H:$H,MATCH(B103,Delivery_Platform_Report!$A:$A,0)),0)</f>
        <v>43.54</v>
      </c>
      <c r="H103" s="3">
        <f t="shared" si="6"/>
        <v>11.36</v>
      </c>
      <c r="I103" s="3">
        <f t="shared" si="7"/>
        <v>0</v>
      </c>
      <c r="J103" s="2" t="str">
        <f t="shared" si="4"/>
        <v>Matched</v>
      </c>
      <c r="K103" s="2" t="str">
        <f t="shared" si="5"/>
        <v>Clean Record</v>
      </c>
    </row>
    <row r="104" spans="1:11" ht="16.8" x14ac:dyDescent="0.4">
      <c r="A104" s="2" t="str">
        <f>POS_Sales_Report!A104</f>
        <v>POS-1102</v>
      </c>
      <c r="B104" s="2" t="str">
        <f>POS_Sales_Report!B104</f>
        <v>REF-80102</v>
      </c>
      <c r="C104" s="2" t="str">
        <f>POS_Sales_Report!C104</f>
        <v>2026-08-07</v>
      </c>
      <c r="D104" s="2" t="str">
        <f>POS_Sales_Report!D104</f>
        <v>Ninja</v>
      </c>
      <c r="E104" s="3">
        <f>POS_Sales_Report!G104</f>
        <v>123.32</v>
      </c>
      <c r="F104" s="3">
        <f>IFERROR(INDEX(Delivery_Platform_Report!$E:$E,MATCH(B104,Delivery_Platform_Report!$A:$A,0)),0)</f>
        <v>123.32</v>
      </c>
      <c r="G104" s="3">
        <f>IFERROR(INDEX(Delivery_Platform_Report!$H:$H,MATCH(B104,Delivery_Platform_Report!$A:$A,0)),0)</f>
        <v>106.3</v>
      </c>
      <c r="H104" s="3">
        <f t="shared" si="6"/>
        <v>17.019999999999996</v>
      </c>
      <c r="I104" s="3">
        <f t="shared" si="7"/>
        <v>0</v>
      </c>
      <c r="J104" s="2" t="str">
        <f t="shared" si="4"/>
        <v>Matched</v>
      </c>
      <c r="K104" s="2" t="str">
        <f t="shared" si="5"/>
        <v>Clean Record</v>
      </c>
    </row>
    <row r="105" spans="1:11" ht="16.8" x14ac:dyDescent="0.4">
      <c r="A105" s="2" t="str">
        <f>POS_Sales_Report!A105</f>
        <v>POS-1103</v>
      </c>
      <c r="B105" s="2" t="str">
        <f>POS_Sales_Report!B105</f>
        <v>REF-80103</v>
      </c>
      <c r="C105" s="2" t="str">
        <f>POS_Sales_Report!C105</f>
        <v>2026-08-07</v>
      </c>
      <c r="D105" s="2" t="str">
        <f>POS_Sales_Report!D105</f>
        <v>Hungerstation</v>
      </c>
      <c r="E105" s="3">
        <f>POS_Sales_Report!G105</f>
        <v>50.66</v>
      </c>
      <c r="F105" s="3">
        <f>IFERROR(INDEX(Delivery_Platform_Report!$E:$E,MATCH(B105,Delivery_Platform_Report!$A:$A,0)),0)</f>
        <v>50.66</v>
      </c>
      <c r="G105" s="3">
        <f>IFERROR(INDEX(Delivery_Platform_Report!$H:$H,MATCH(B105,Delivery_Platform_Report!$A:$A,0)),0)</f>
        <v>39.01</v>
      </c>
      <c r="H105" s="3">
        <f t="shared" si="6"/>
        <v>11.649999999999999</v>
      </c>
      <c r="I105" s="3">
        <f t="shared" si="7"/>
        <v>0</v>
      </c>
      <c r="J105" s="2" t="str">
        <f t="shared" si="4"/>
        <v>Matched</v>
      </c>
      <c r="K105" s="2" t="str">
        <f t="shared" si="5"/>
        <v>Clean Record</v>
      </c>
    </row>
    <row r="106" spans="1:11" ht="16.8" x14ac:dyDescent="0.4">
      <c r="A106" s="2" t="str">
        <f>POS_Sales_Report!A106</f>
        <v>POS-1104</v>
      </c>
      <c r="B106" s="2" t="str">
        <f>POS_Sales_Report!B106</f>
        <v>REF-80104</v>
      </c>
      <c r="C106" s="2" t="str">
        <f>POS_Sales_Report!C106</f>
        <v>2026-08-07</v>
      </c>
      <c r="D106" s="2" t="str">
        <f>POS_Sales_Report!D106</f>
        <v>Jahez</v>
      </c>
      <c r="E106" s="3">
        <f>POS_Sales_Report!G106</f>
        <v>226.19</v>
      </c>
      <c r="F106" s="3">
        <f>IFERROR(INDEX(Delivery_Platform_Report!$E:$E,MATCH(B106,Delivery_Platform_Report!$A:$A,0)),0)</f>
        <v>226.19</v>
      </c>
      <c r="G106" s="3">
        <f>IFERROR(INDEX(Delivery_Platform_Report!$H:$H,MATCH(B106,Delivery_Platform_Report!$A:$A,0)),0)</f>
        <v>179.37</v>
      </c>
      <c r="H106" s="3">
        <f t="shared" si="6"/>
        <v>46.819999999999993</v>
      </c>
      <c r="I106" s="3">
        <f t="shared" si="7"/>
        <v>0</v>
      </c>
      <c r="J106" s="2" t="str">
        <f t="shared" si="4"/>
        <v>Matched</v>
      </c>
      <c r="K106" s="2" t="str">
        <f t="shared" si="5"/>
        <v>Clean Record</v>
      </c>
    </row>
    <row r="107" spans="1:11" ht="16.8" x14ac:dyDescent="0.4">
      <c r="A107" s="2" t="str">
        <f>POS_Sales_Report!A107</f>
        <v>POS-1105</v>
      </c>
      <c r="B107" s="2" t="str">
        <f>POS_Sales_Report!B107</f>
        <v>REF-80105</v>
      </c>
      <c r="C107" s="2" t="str">
        <f>POS_Sales_Report!C107</f>
        <v>2026-08-07</v>
      </c>
      <c r="D107" s="2" t="str">
        <f>POS_Sales_Report!D107</f>
        <v>Chefz</v>
      </c>
      <c r="E107" s="3">
        <f>POS_Sales_Report!G107</f>
        <v>45.8</v>
      </c>
      <c r="F107" s="3">
        <f>IFERROR(INDEX(Delivery_Platform_Report!$E:$E,MATCH(B107,Delivery_Platform_Report!$A:$A,0)),0)</f>
        <v>45.8</v>
      </c>
      <c r="G107" s="3">
        <f>IFERROR(INDEX(Delivery_Platform_Report!$H:$H,MATCH(B107,Delivery_Platform_Report!$A:$A,0)),0)</f>
        <v>34.21</v>
      </c>
      <c r="H107" s="3">
        <f t="shared" si="6"/>
        <v>11.589999999999996</v>
      </c>
      <c r="I107" s="3">
        <f t="shared" si="7"/>
        <v>0</v>
      </c>
      <c r="J107" s="2" t="str">
        <f t="shared" si="4"/>
        <v>Matched</v>
      </c>
      <c r="K107" s="2" t="str">
        <f t="shared" si="5"/>
        <v>Clean Record</v>
      </c>
    </row>
    <row r="108" spans="1:11" ht="16.8" x14ac:dyDescent="0.4">
      <c r="A108" s="2" t="str">
        <f>POS_Sales_Report!A108</f>
        <v>POS-1106</v>
      </c>
      <c r="B108" s="2" t="str">
        <f>POS_Sales_Report!B108</f>
        <v>REF-80106</v>
      </c>
      <c r="C108" s="2" t="str">
        <f>POS_Sales_Report!C108</f>
        <v>2026-08-07</v>
      </c>
      <c r="D108" s="2" t="str">
        <f>POS_Sales_Report!D108</f>
        <v>ToYou</v>
      </c>
      <c r="E108" s="3">
        <f>POS_Sales_Report!G108</f>
        <v>161.56</v>
      </c>
      <c r="F108" s="3">
        <f>IFERROR(INDEX(Delivery_Platform_Report!$E:$E,MATCH(B108,Delivery_Platform_Report!$A:$A,0)),0)</f>
        <v>161.56</v>
      </c>
      <c r="G108" s="3">
        <f>IFERROR(INDEX(Delivery_Platform_Report!$H:$H,MATCH(B108,Delivery_Platform_Report!$A:$A,0)),0)</f>
        <v>133.69999999999999</v>
      </c>
      <c r="H108" s="3">
        <f t="shared" si="6"/>
        <v>27.860000000000014</v>
      </c>
      <c r="I108" s="3">
        <f t="shared" si="7"/>
        <v>0</v>
      </c>
      <c r="J108" s="2" t="str">
        <f t="shared" si="4"/>
        <v>Matched</v>
      </c>
      <c r="K108" s="2" t="str">
        <f t="shared" si="5"/>
        <v>Clean Record</v>
      </c>
    </row>
    <row r="109" spans="1:11" ht="16.8" x14ac:dyDescent="0.4">
      <c r="A109" s="2" t="str">
        <f>POS_Sales_Report!A109</f>
        <v>POS-1107</v>
      </c>
      <c r="B109" s="2" t="str">
        <f>POS_Sales_Report!B109</f>
        <v>REF-80107</v>
      </c>
      <c r="C109" s="2" t="str">
        <f>POS_Sales_Report!C109</f>
        <v>2026-08-07</v>
      </c>
      <c r="D109" s="2" t="str">
        <f>POS_Sales_Report!D109</f>
        <v>Ninja</v>
      </c>
      <c r="E109" s="3">
        <f>POS_Sales_Report!G109</f>
        <v>132.08000000000001</v>
      </c>
      <c r="F109" s="3">
        <f>IFERROR(INDEX(Delivery_Platform_Report!$E:$E,MATCH(B109,Delivery_Platform_Report!$A:$A,0)),0)</f>
        <v>132.08000000000001</v>
      </c>
      <c r="G109" s="3">
        <f>IFERROR(INDEX(Delivery_Platform_Report!$H:$H,MATCH(B109,Delivery_Platform_Report!$A:$A,0)),0)</f>
        <v>113.85</v>
      </c>
      <c r="H109" s="3">
        <f t="shared" si="6"/>
        <v>18.230000000000018</v>
      </c>
      <c r="I109" s="3">
        <f t="shared" si="7"/>
        <v>0</v>
      </c>
      <c r="J109" s="2" t="str">
        <f t="shared" si="4"/>
        <v>Matched</v>
      </c>
      <c r="K109" s="2" t="str">
        <f t="shared" si="5"/>
        <v>Clean Record</v>
      </c>
    </row>
    <row r="110" spans="1:11" ht="16.8" x14ac:dyDescent="0.4">
      <c r="A110" s="2" t="str">
        <f>POS_Sales_Report!A110</f>
        <v>POS-1108</v>
      </c>
      <c r="B110" s="2" t="str">
        <f>POS_Sales_Report!B110</f>
        <v>REF-80108</v>
      </c>
      <c r="C110" s="2" t="str">
        <f>POS_Sales_Report!C110</f>
        <v>2026-08-07</v>
      </c>
      <c r="D110" s="2" t="str">
        <f>POS_Sales_Report!D110</f>
        <v>ToYou</v>
      </c>
      <c r="E110" s="3">
        <f>POS_Sales_Report!G110</f>
        <v>181.13</v>
      </c>
      <c r="F110" s="3">
        <f>IFERROR(INDEX(Delivery_Platform_Report!$E:$E,MATCH(B110,Delivery_Platform_Report!$A:$A,0)),0)</f>
        <v>181.13</v>
      </c>
      <c r="G110" s="3">
        <f>IFERROR(INDEX(Delivery_Platform_Report!$H:$H,MATCH(B110,Delivery_Platform_Report!$A:$A,0)),0)</f>
        <v>149.88</v>
      </c>
      <c r="H110" s="3">
        <f t="shared" si="6"/>
        <v>31.25</v>
      </c>
      <c r="I110" s="3">
        <f t="shared" si="7"/>
        <v>0</v>
      </c>
      <c r="J110" s="2" t="str">
        <f t="shared" si="4"/>
        <v>Matched</v>
      </c>
      <c r="K110" s="2" t="str">
        <f t="shared" si="5"/>
        <v>Clean Record</v>
      </c>
    </row>
    <row r="111" spans="1:11" ht="16.8" x14ac:dyDescent="0.4">
      <c r="A111" s="2" t="str">
        <f>POS_Sales_Report!A111</f>
        <v>POS-1109</v>
      </c>
      <c r="B111" s="2" t="str">
        <f>POS_Sales_Report!B111</f>
        <v>REF-80109</v>
      </c>
      <c r="C111" s="2" t="str">
        <f>POS_Sales_Report!C111</f>
        <v>2026-08-07</v>
      </c>
      <c r="D111" s="2" t="str">
        <f>POS_Sales_Report!D111</f>
        <v>ToYou</v>
      </c>
      <c r="E111" s="3">
        <f>POS_Sales_Report!G111</f>
        <v>108.91</v>
      </c>
      <c r="F111" s="3">
        <f>IFERROR(INDEX(Delivery_Platform_Report!$E:$E,MATCH(B111,Delivery_Platform_Report!$A:$A,0)),0)</f>
        <v>108.91</v>
      </c>
      <c r="G111" s="3">
        <f>IFERROR(INDEX(Delivery_Platform_Report!$H:$H,MATCH(B111,Delivery_Platform_Report!$A:$A,0)),0)</f>
        <v>90.12</v>
      </c>
      <c r="H111" s="3">
        <f t="shared" si="6"/>
        <v>18.789999999999992</v>
      </c>
      <c r="I111" s="3">
        <f t="shared" si="7"/>
        <v>0</v>
      </c>
      <c r="J111" s="2" t="str">
        <f t="shared" si="4"/>
        <v>Matched</v>
      </c>
      <c r="K111" s="2" t="str">
        <f t="shared" si="5"/>
        <v>Clean Record</v>
      </c>
    </row>
    <row r="112" spans="1:11" ht="16.8" x14ac:dyDescent="0.4">
      <c r="A112" s="2" t="str">
        <f>POS_Sales_Report!A112</f>
        <v>POS-1110</v>
      </c>
      <c r="B112" s="2" t="str">
        <f>POS_Sales_Report!B112</f>
        <v>REF-80110</v>
      </c>
      <c r="C112" s="2" t="str">
        <f>POS_Sales_Report!C112</f>
        <v>2026-08-08</v>
      </c>
      <c r="D112" s="2" t="str">
        <f>POS_Sales_Report!D112</f>
        <v>Jahez</v>
      </c>
      <c r="E112" s="3">
        <f>POS_Sales_Report!G112</f>
        <v>72.56</v>
      </c>
      <c r="F112" s="3">
        <f>IFERROR(INDEX(Delivery_Platform_Report!$E:$E,MATCH(B112,Delivery_Platform_Report!$A:$A,0)),0)</f>
        <v>72.56</v>
      </c>
      <c r="G112" s="3">
        <f>IFERROR(INDEX(Delivery_Platform_Report!$H:$H,MATCH(B112,Delivery_Platform_Report!$A:$A,0)),0)</f>
        <v>57.54</v>
      </c>
      <c r="H112" s="3">
        <f t="shared" si="6"/>
        <v>15.020000000000003</v>
      </c>
      <c r="I112" s="3">
        <f t="shared" si="7"/>
        <v>0</v>
      </c>
      <c r="J112" s="2" t="str">
        <f t="shared" si="4"/>
        <v>Matched</v>
      </c>
      <c r="K112" s="2" t="str">
        <f t="shared" si="5"/>
        <v>Clean Record</v>
      </c>
    </row>
    <row r="113" spans="1:11" ht="16.8" x14ac:dyDescent="0.4">
      <c r="A113" s="2" t="str">
        <f>POS_Sales_Report!A113</f>
        <v>POS-1111</v>
      </c>
      <c r="B113" s="2" t="str">
        <f>POS_Sales_Report!B113</f>
        <v>REF-80111</v>
      </c>
      <c r="C113" s="2" t="str">
        <f>POS_Sales_Report!C113</f>
        <v>2026-08-08</v>
      </c>
      <c r="D113" s="2" t="str">
        <f>POS_Sales_Report!D113</f>
        <v>ToYou</v>
      </c>
      <c r="E113" s="3">
        <f>POS_Sales_Report!G113</f>
        <v>221.57</v>
      </c>
      <c r="F113" s="3">
        <f>IFERROR(INDEX(Delivery_Platform_Report!$E:$E,MATCH(B113,Delivery_Platform_Report!$A:$A,0)),0)</f>
        <v>221.57</v>
      </c>
      <c r="G113" s="3">
        <f>IFERROR(INDEX(Delivery_Platform_Report!$H:$H,MATCH(B113,Delivery_Platform_Report!$A:$A,0)),0)</f>
        <v>183.34</v>
      </c>
      <c r="H113" s="3">
        <f t="shared" si="6"/>
        <v>38.22999999999999</v>
      </c>
      <c r="I113" s="3">
        <f t="shared" si="7"/>
        <v>0</v>
      </c>
      <c r="J113" s="2" t="str">
        <f t="shared" si="4"/>
        <v>Matched</v>
      </c>
      <c r="K113" s="2" t="str">
        <f t="shared" si="5"/>
        <v>Clean Record</v>
      </c>
    </row>
    <row r="114" spans="1:11" ht="16.8" x14ac:dyDescent="0.4">
      <c r="A114" s="2" t="str">
        <f>POS_Sales_Report!A114</f>
        <v>POS-1112</v>
      </c>
      <c r="B114" s="2" t="str">
        <f>POS_Sales_Report!B114</f>
        <v>REF-80112</v>
      </c>
      <c r="C114" s="2" t="str">
        <f>POS_Sales_Report!C114</f>
        <v>2026-08-08</v>
      </c>
      <c r="D114" s="2" t="str">
        <f>POS_Sales_Report!D114</f>
        <v>Chefz</v>
      </c>
      <c r="E114" s="3">
        <f>POS_Sales_Report!G114</f>
        <v>216.18</v>
      </c>
      <c r="F114" s="3">
        <f>IFERROR(INDEX(Delivery_Platform_Report!$E:$E,MATCH(B114,Delivery_Platform_Report!$A:$A,0)),0)</f>
        <v>216.18</v>
      </c>
      <c r="G114" s="3">
        <f>IFERROR(INDEX(Delivery_Platform_Report!$H:$H,MATCH(B114,Delivery_Platform_Report!$A:$A,0)),0)</f>
        <v>161.49</v>
      </c>
      <c r="H114" s="3">
        <f t="shared" si="6"/>
        <v>54.69</v>
      </c>
      <c r="I114" s="3">
        <f t="shared" si="7"/>
        <v>0</v>
      </c>
      <c r="J114" s="2" t="str">
        <f t="shared" si="4"/>
        <v>Matched</v>
      </c>
      <c r="K114" s="2" t="str">
        <f t="shared" si="5"/>
        <v>Clean Record</v>
      </c>
    </row>
    <row r="115" spans="1:11" ht="16.8" x14ac:dyDescent="0.4">
      <c r="A115" s="2" t="str">
        <f>POS_Sales_Report!A115</f>
        <v>POS-1113</v>
      </c>
      <c r="B115" s="2" t="str">
        <f>POS_Sales_Report!B115</f>
        <v>REF-80113</v>
      </c>
      <c r="C115" s="2" t="str">
        <f>POS_Sales_Report!C115</f>
        <v>2026-08-08</v>
      </c>
      <c r="D115" s="2" t="str">
        <f>POS_Sales_Report!D115</f>
        <v>ToYou</v>
      </c>
      <c r="E115" s="3">
        <f>POS_Sales_Report!G115</f>
        <v>220.68</v>
      </c>
      <c r="F115" s="3">
        <f>IFERROR(INDEX(Delivery_Platform_Report!$E:$E,MATCH(B115,Delivery_Platform_Report!$A:$A,0)),0)</f>
        <v>220.68</v>
      </c>
      <c r="G115" s="3">
        <f>IFERROR(INDEX(Delivery_Platform_Report!$H:$H,MATCH(B115,Delivery_Platform_Report!$A:$A,0)),0)</f>
        <v>182.62</v>
      </c>
      <c r="H115" s="3">
        <f t="shared" si="6"/>
        <v>38.06</v>
      </c>
      <c r="I115" s="3">
        <f t="shared" si="7"/>
        <v>0</v>
      </c>
      <c r="J115" s="2" t="str">
        <f t="shared" si="4"/>
        <v>Matched</v>
      </c>
      <c r="K115" s="2" t="str">
        <f t="shared" si="5"/>
        <v>Clean Record</v>
      </c>
    </row>
    <row r="116" spans="1:11" ht="16.8" x14ac:dyDescent="0.4">
      <c r="A116" s="2" t="str">
        <f>POS_Sales_Report!A116</f>
        <v>POS-1114</v>
      </c>
      <c r="B116" s="2" t="str">
        <f>POS_Sales_Report!B116</f>
        <v>REF-80114</v>
      </c>
      <c r="C116" s="2" t="str">
        <f>POS_Sales_Report!C116</f>
        <v>2026-08-08</v>
      </c>
      <c r="D116" s="2" t="str">
        <f>POS_Sales_Report!D116</f>
        <v>Jahez</v>
      </c>
      <c r="E116" s="3">
        <f>POS_Sales_Report!G116</f>
        <v>83.289999999999992</v>
      </c>
      <c r="F116" s="3">
        <f>IFERROR(INDEX(Delivery_Platform_Report!$E:$E,MATCH(B116,Delivery_Platform_Report!$A:$A,0)),0)</f>
        <v>83.289999999999992</v>
      </c>
      <c r="G116" s="3">
        <f>IFERROR(INDEX(Delivery_Platform_Report!$H:$H,MATCH(B116,Delivery_Platform_Report!$A:$A,0)),0)</f>
        <v>66.05</v>
      </c>
      <c r="H116" s="3">
        <f t="shared" si="6"/>
        <v>17.239999999999995</v>
      </c>
      <c r="I116" s="3">
        <f t="shared" si="7"/>
        <v>0</v>
      </c>
      <c r="J116" s="2" t="str">
        <f t="shared" si="4"/>
        <v>Matched</v>
      </c>
      <c r="K116" s="2" t="str">
        <f t="shared" si="5"/>
        <v>Clean Record</v>
      </c>
    </row>
    <row r="117" spans="1:11" ht="16.8" x14ac:dyDescent="0.4">
      <c r="A117" s="2" t="str">
        <f>POS_Sales_Report!A117</f>
        <v>POS-1115</v>
      </c>
      <c r="B117" s="2" t="str">
        <f>POS_Sales_Report!B117</f>
        <v>REF-80115</v>
      </c>
      <c r="C117" s="2" t="str">
        <f>POS_Sales_Report!C117</f>
        <v>2026-08-08</v>
      </c>
      <c r="D117" s="2" t="str">
        <f>POS_Sales_Report!D117</f>
        <v>Chefz</v>
      </c>
      <c r="E117" s="3">
        <f>POS_Sales_Report!G117</f>
        <v>48.16</v>
      </c>
      <c r="F117" s="3">
        <f>IFERROR(INDEX(Delivery_Platform_Report!$E:$E,MATCH(B117,Delivery_Platform_Report!$A:$A,0)),0)</f>
        <v>48.16</v>
      </c>
      <c r="G117" s="3">
        <f>IFERROR(INDEX(Delivery_Platform_Report!$H:$H,MATCH(B117,Delivery_Platform_Report!$A:$A,0)),0)</f>
        <v>35.97</v>
      </c>
      <c r="H117" s="3">
        <f t="shared" si="6"/>
        <v>12.189999999999998</v>
      </c>
      <c r="I117" s="3">
        <f t="shared" si="7"/>
        <v>0</v>
      </c>
      <c r="J117" s="2" t="str">
        <f t="shared" si="4"/>
        <v>Matched</v>
      </c>
      <c r="K117" s="2" t="str">
        <f t="shared" si="5"/>
        <v>Clean Record</v>
      </c>
    </row>
    <row r="118" spans="1:11" ht="16.8" x14ac:dyDescent="0.4">
      <c r="A118" s="2" t="str">
        <f>POS_Sales_Report!A118</f>
        <v>POS-1116</v>
      </c>
      <c r="B118" s="2" t="str">
        <f>POS_Sales_Report!B118</f>
        <v>REF-80116</v>
      </c>
      <c r="C118" s="2" t="str">
        <f>POS_Sales_Report!C118</f>
        <v>2026-08-08</v>
      </c>
      <c r="D118" s="2" t="str">
        <f>POS_Sales_Report!D118</f>
        <v>Hungerstation</v>
      </c>
      <c r="E118" s="3">
        <f>POS_Sales_Report!G118</f>
        <v>93.32</v>
      </c>
      <c r="F118" s="3">
        <f>IFERROR(INDEX(Delivery_Platform_Report!$E:$E,MATCH(B118,Delivery_Platform_Report!$A:$A,0)),0)</f>
        <v>93.32</v>
      </c>
      <c r="G118" s="3">
        <f>IFERROR(INDEX(Delivery_Platform_Report!$H:$H,MATCH(B118,Delivery_Platform_Report!$A:$A,0)),0)</f>
        <v>71.86</v>
      </c>
      <c r="H118" s="3">
        <f t="shared" si="6"/>
        <v>21.459999999999994</v>
      </c>
      <c r="I118" s="3">
        <f t="shared" si="7"/>
        <v>0</v>
      </c>
      <c r="J118" s="2" t="str">
        <f t="shared" si="4"/>
        <v>Matched</v>
      </c>
      <c r="K118" s="2" t="str">
        <f t="shared" si="5"/>
        <v>Clean Record</v>
      </c>
    </row>
    <row r="119" spans="1:11" ht="16.8" x14ac:dyDescent="0.4">
      <c r="A119" s="2" t="str">
        <f>POS_Sales_Report!A119</f>
        <v>POS-1117</v>
      </c>
      <c r="B119" s="2" t="str">
        <f>POS_Sales_Report!B119</f>
        <v>REF-80117</v>
      </c>
      <c r="C119" s="2" t="str">
        <f>POS_Sales_Report!C119</f>
        <v>2026-08-08</v>
      </c>
      <c r="D119" s="2" t="str">
        <f>POS_Sales_Report!D119</f>
        <v>ToYou</v>
      </c>
      <c r="E119" s="3">
        <f>POS_Sales_Report!G119</f>
        <v>152.79</v>
      </c>
      <c r="F119" s="3">
        <f>IFERROR(INDEX(Delivery_Platform_Report!$E:$E,MATCH(B119,Delivery_Platform_Report!$A:$A,0)),0)</f>
        <v>152.79</v>
      </c>
      <c r="G119" s="3">
        <f>IFERROR(INDEX(Delivery_Platform_Report!$H:$H,MATCH(B119,Delivery_Platform_Report!$A:$A,0)),0)</f>
        <v>126.43</v>
      </c>
      <c r="H119" s="3">
        <f t="shared" si="6"/>
        <v>26.359999999999985</v>
      </c>
      <c r="I119" s="3">
        <f t="shared" si="7"/>
        <v>0</v>
      </c>
      <c r="J119" s="2" t="str">
        <f t="shared" si="4"/>
        <v>Matched</v>
      </c>
      <c r="K119" s="2" t="str">
        <f t="shared" si="5"/>
        <v>Clean Record</v>
      </c>
    </row>
    <row r="120" spans="1:11" ht="16.8" x14ac:dyDescent="0.4">
      <c r="A120" s="2" t="str">
        <f>POS_Sales_Report!A120</f>
        <v>POS-1118</v>
      </c>
      <c r="B120" s="2" t="str">
        <f>POS_Sales_Report!B120</f>
        <v>REF-80118</v>
      </c>
      <c r="C120" s="2" t="str">
        <f>POS_Sales_Report!C120</f>
        <v>2026-08-08</v>
      </c>
      <c r="D120" s="2" t="str">
        <f>POS_Sales_Report!D120</f>
        <v>Jahez</v>
      </c>
      <c r="E120" s="3">
        <f>POS_Sales_Report!G120</f>
        <v>108.6</v>
      </c>
      <c r="F120" s="3">
        <f>IFERROR(INDEX(Delivery_Platform_Report!$E:$E,MATCH(B120,Delivery_Platform_Report!$A:$A,0)),0)</f>
        <v>108.6</v>
      </c>
      <c r="G120" s="3">
        <f>IFERROR(INDEX(Delivery_Platform_Report!$H:$H,MATCH(B120,Delivery_Platform_Report!$A:$A,0)),0)</f>
        <v>86.12</v>
      </c>
      <c r="H120" s="3">
        <f t="shared" si="6"/>
        <v>22.47999999999999</v>
      </c>
      <c r="I120" s="3">
        <f t="shared" si="7"/>
        <v>0</v>
      </c>
      <c r="J120" s="2" t="str">
        <f t="shared" si="4"/>
        <v>Matched</v>
      </c>
      <c r="K120" s="2" t="str">
        <f t="shared" si="5"/>
        <v>Clean Record</v>
      </c>
    </row>
    <row r="121" spans="1:11" ht="16.8" x14ac:dyDescent="0.4">
      <c r="A121" s="2" t="str">
        <f>POS_Sales_Report!A121</f>
        <v>POS-1119</v>
      </c>
      <c r="B121" s="2" t="str">
        <f>POS_Sales_Report!B121</f>
        <v>REF-80119</v>
      </c>
      <c r="C121" s="2" t="str">
        <f>POS_Sales_Report!C121</f>
        <v>2026-08-08</v>
      </c>
      <c r="D121" s="2" t="str">
        <f>POS_Sales_Report!D121</f>
        <v>Hungerstation</v>
      </c>
      <c r="E121" s="3">
        <f>POS_Sales_Report!G121</f>
        <v>213.85</v>
      </c>
      <c r="F121" s="3">
        <f>IFERROR(INDEX(Delivery_Platform_Report!$E:$E,MATCH(B121,Delivery_Platform_Report!$A:$A,0)),0)</f>
        <v>213.85</v>
      </c>
      <c r="G121" s="3">
        <f>IFERROR(INDEX(Delivery_Platform_Report!$H:$H,MATCH(B121,Delivery_Platform_Report!$A:$A,0)),0)</f>
        <v>164.66</v>
      </c>
      <c r="H121" s="3">
        <f t="shared" si="6"/>
        <v>49.19</v>
      </c>
      <c r="I121" s="3">
        <f t="shared" si="7"/>
        <v>0</v>
      </c>
      <c r="J121" s="2" t="str">
        <f t="shared" si="4"/>
        <v>Matched</v>
      </c>
      <c r="K121" s="2" t="str">
        <f t="shared" si="5"/>
        <v>Clean Record</v>
      </c>
    </row>
    <row r="122" spans="1:11" ht="16.8" x14ac:dyDescent="0.4">
      <c r="A122" s="2" t="str">
        <f>POS_Sales_Report!A122</f>
        <v>POS-1120</v>
      </c>
      <c r="B122" s="2" t="str">
        <f>POS_Sales_Report!B122</f>
        <v>REF-80120</v>
      </c>
      <c r="C122" s="2" t="str">
        <f>POS_Sales_Report!C122</f>
        <v>2026-08-08</v>
      </c>
      <c r="D122" s="2" t="str">
        <f>POS_Sales_Report!D122</f>
        <v>Hungerstation</v>
      </c>
      <c r="E122" s="3">
        <f>POS_Sales_Report!G122</f>
        <v>87.32</v>
      </c>
      <c r="F122" s="3">
        <f>IFERROR(INDEX(Delivery_Platform_Report!$E:$E,MATCH(B122,Delivery_Platform_Report!$A:$A,0)),0)</f>
        <v>87.32</v>
      </c>
      <c r="G122" s="3">
        <f>IFERROR(INDEX(Delivery_Platform_Report!$H:$H,MATCH(B122,Delivery_Platform_Report!$A:$A,0)),0)</f>
        <v>67.239999999999995</v>
      </c>
      <c r="H122" s="3">
        <f t="shared" si="6"/>
        <v>20.079999999999998</v>
      </c>
      <c r="I122" s="3">
        <f t="shared" si="7"/>
        <v>0</v>
      </c>
      <c r="J122" s="2" t="str">
        <f t="shared" si="4"/>
        <v>Matched</v>
      </c>
      <c r="K122" s="2" t="str">
        <f t="shared" si="5"/>
        <v>Clean Record</v>
      </c>
    </row>
    <row r="123" spans="1:11" ht="16.8" x14ac:dyDescent="0.4">
      <c r="A123" s="2" t="str">
        <f>POS_Sales_Report!A123</f>
        <v>POS-1121</v>
      </c>
      <c r="B123" s="2" t="str">
        <f>POS_Sales_Report!B123</f>
        <v>REF-80121</v>
      </c>
      <c r="C123" s="2" t="str">
        <f>POS_Sales_Report!C123</f>
        <v>2026-08-08</v>
      </c>
      <c r="D123" s="2" t="str">
        <f>POS_Sales_Report!D123</f>
        <v>Ninja</v>
      </c>
      <c r="E123" s="3">
        <f>POS_Sales_Report!G123</f>
        <v>242.7</v>
      </c>
      <c r="F123" s="3">
        <f>IFERROR(INDEX(Delivery_Platform_Report!$E:$E,MATCH(B123,Delivery_Platform_Report!$A:$A,0)),0)</f>
        <v>242.7</v>
      </c>
      <c r="G123" s="3">
        <f>IFERROR(INDEX(Delivery_Platform_Report!$H:$H,MATCH(B123,Delivery_Platform_Report!$A:$A,0)),0)</f>
        <v>209.21</v>
      </c>
      <c r="H123" s="3">
        <f t="shared" si="6"/>
        <v>33.489999999999981</v>
      </c>
      <c r="I123" s="3">
        <f t="shared" si="7"/>
        <v>0</v>
      </c>
      <c r="J123" s="2" t="str">
        <f t="shared" si="4"/>
        <v>Matched</v>
      </c>
      <c r="K123" s="2" t="str">
        <f t="shared" si="5"/>
        <v>Clean Record</v>
      </c>
    </row>
    <row r="124" spans="1:11" ht="16.8" x14ac:dyDescent="0.4">
      <c r="A124" s="2" t="str">
        <f>POS_Sales_Report!A124</f>
        <v>POS-1122</v>
      </c>
      <c r="B124" s="2" t="str">
        <f>POS_Sales_Report!B124</f>
        <v>REF-80122</v>
      </c>
      <c r="C124" s="2" t="str">
        <f>POS_Sales_Report!C124</f>
        <v>2026-08-08</v>
      </c>
      <c r="D124" s="2" t="str">
        <f>POS_Sales_Report!D124</f>
        <v>Chefz</v>
      </c>
      <c r="E124" s="3">
        <f>POS_Sales_Report!G124</f>
        <v>122.43</v>
      </c>
      <c r="F124" s="3">
        <f>IFERROR(INDEX(Delivery_Platform_Report!$E:$E,MATCH(B124,Delivery_Platform_Report!$A:$A,0)),0)</f>
        <v>122.43</v>
      </c>
      <c r="G124" s="3">
        <f>IFERROR(INDEX(Delivery_Platform_Report!$H:$H,MATCH(B124,Delivery_Platform_Report!$A:$A,0)),0)</f>
        <v>91.46</v>
      </c>
      <c r="H124" s="3">
        <f t="shared" si="6"/>
        <v>30.970000000000013</v>
      </c>
      <c r="I124" s="3">
        <f t="shared" si="7"/>
        <v>0</v>
      </c>
      <c r="J124" s="2" t="str">
        <f t="shared" si="4"/>
        <v>Matched</v>
      </c>
      <c r="K124" s="2" t="str">
        <f t="shared" si="5"/>
        <v>Clean Record</v>
      </c>
    </row>
    <row r="125" spans="1:11" ht="16.8" x14ac:dyDescent="0.4">
      <c r="A125" s="2" t="str">
        <f>POS_Sales_Report!A125</f>
        <v>POS-1123</v>
      </c>
      <c r="B125" s="2" t="str">
        <f>POS_Sales_Report!B125</f>
        <v>REF-80123</v>
      </c>
      <c r="C125" s="2" t="str">
        <f>POS_Sales_Report!C125</f>
        <v>2026-08-08</v>
      </c>
      <c r="D125" s="2" t="str">
        <f>POS_Sales_Report!D125</f>
        <v>ToYou</v>
      </c>
      <c r="E125" s="3">
        <f>POS_Sales_Report!G125</f>
        <v>216.82</v>
      </c>
      <c r="F125" s="3">
        <f>IFERROR(INDEX(Delivery_Platform_Report!$E:$E,MATCH(B125,Delivery_Platform_Report!$A:$A,0)),0)</f>
        <v>216.82</v>
      </c>
      <c r="G125" s="3">
        <f>IFERROR(INDEX(Delivery_Platform_Report!$H:$H,MATCH(B125,Delivery_Platform_Report!$A:$A,0)),0)</f>
        <v>179.42</v>
      </c>
      <c r="H125" s="3">
        <f t="shared" si="6"/>
        <v>37.400000000000006</v>
      </c>
      <c r="I125" s="3">
        <f t="shared" si="7"/>
        <v>0</v>
      </c>
      <c r="J125" s="2" t="str">
        <f t="shared" si="4"/>
        <v>Matched</v>
      </c>
      <c r="K125" s="2" t="str">
        <f t="shared" si="5"/>
        <v>Clean Record</v>
      </c>
    </row>
    <row r="126" spans="1:11" ht="16.8" x14ac:dyDescent="0.4">
      <c r="A126" s="2" t="str">
        <f>POS_Sales_Report!A126</f>
        <v>POS-1124</v>
      </c>
      <c r="B126" s="2" t="str">
        <f>POS_Sales_Report!B126</f>
        <v>REF-80124</v>
      </c>
      <c r="C126" s="2" t="str">
        <f>POS_Sales_Report!C126</f>
        <v>2026-08-08</v>
      </c>
      <c r="D126" s="2" t="str">
        <f>POS_Sales_Report!D126</f>
        <v>Jahez</v>
      </c>
      <c r="E126" s="3">
        <f>POS_Sales_Report!G126</f>
        <v>72.739999999999995</v>
      </c>
      <c r="F126" s="3">
        <f>IFERROR(INDEX(Delivery_Platform_Report!$E:$E,MATCH(B126,Delivery_Platform_Report!$A:$A,0)),0)</f>
        <v>72.739999999999995</v>
      </c>
      <c r="G126" s="3">
        <f>IFERROR(INDEX(Delivery_Platform_Report!$H:$H,MATCH(B126,Delivery_Platform_Report!$A:$A,0)),0)</f>
        <v>57.69</v>
      </c>
      <c r="H126" s="3">
        <f t="shared" si="6"/>
        <v>15.049999999999997</v>
      </c>
      <c r="I126" s="3">
        <f t="shared" si="7"/>
        <v>0</v>
      </c>
      <c r="J126" s="2" t="str">
        <f t="shared" si="4"/>
        <v>Matched</v>
      </c>
      <c r="K126" s="2" t="str">
        <f t="shared" si="5"/>
        <v>Clean Record</v>
      </c>
    </row>
    <row r="127" spans="1:11" ht="16.8" x14ac:dyDescent="0.4">
      <c r="A127" s="2" t="str">
        <f>POS_Sales_Report!A127</f>
        <v>POS-1125</v>
      </c>
      <c r="B127" s="2" t="str">
        <f>POS_Sales_Report!B127</f>
        <v>REF-80125</v>
      </c>
      <c r="C127" s="2" t="str">
        <f>POS_Sales_Report!C127</f>
        <v>2026-08-08</v>
      </c>
      <c r="D127" s="2" t="str">
        <f>POS_Sales_Report!D127</f>
        <v>Ninja</v>
      </c>
      <c r="E127" s="3">
        <f>POS_Sales_Report!G127</f>
        <v>126.38</v>
      </c>
      <c r="F127" s="3">
        <f>IFERROR(INDEX(Delivery_Platform_Report!$E:$E,MATCH(B127,Delivery_Platform_Report!$A:$A,0)),0)</f>
        <v>126.38</v>
      </c>
      <c r="G127" s="3">
        <f>IFERROR(INDEX(Delivery_Platform_Report!$H:$H,MATCH(B127,Delivery_Platform_Report!$A:$A,0)),0)</f>
        <v>108.93</v>
      </c>
      <c r="H127" s="3">
        <f t="shared" si="6"/>
        <v>17.449999999999989</v>
      </c>
      <c r="I127" s="3">
        <f t="shared" si="7"/>
        <v>0</v>
      </c>
      <c r="J127" s="2" t="str">
        <f t="shared" si="4"/>
        <v>Matched</v>
      </c>
      <c r="K127" s="2" t="str">
        <f t="shared" si="5"/>
        <v>Clean Record</v>
      </c>
    </row>
    <row r="128" spans="1:11" ht="16.8" x14ac:dyDescent="0.4">
      <c r="A128" s="2" t="str">
        <f>POS_Sales_Report!A128</f>
        <v>POS-1126</v>
      </c>
      <c r="B128" s="2" t="str">
        <f>POS_Sales_Report!B128</f>
        <v>REF-80126</v>
      </c>
      <c r="C128" s="2" t="str">
        <f>POS_Sales_Report!C128</f>
        <v>2026-08-09</v>
      </c>
      <c r="D128" s="2" t="str">
        <f>POS_Sales_Report!D128</f>
        <v>Chefz</v>
      </c>
      <c r="E128" s="3">
        <f>POS_Sales_Report!G128</f>
        <v>168.21</v>
      </c>
      <c r="F128" s="3">
        <f>IFERROR(INDEX(Delivery_Platform_Report!$E:$E,MATCH(B128,Delivery_Platform_Report!$A:$A,0)),0)</f>
        <v>168.21</v>
      </c>
      <c r="G128" s="3">
        <f>IFERROR(INDEX(Delivery_Platform_Report!$H:$H,MATCH(B128,Delivery_Platform_Report!$A:$A,0)),0)</f>
        <v>125.65</v>
      </c>
      <c r="H128" s="3">
        <f t="shared" si="6"/>
        <v>42.56</v>
      </c>
      <c r="I128" s="3">
        <f t="shared" si="7"/>
        <v>0</v>
      </c>
      <c r="J128" s="2" t="str">
        <f t="shared" si="4"/>
        <v>Matched</v>
      </c>
      <c r="K128" s="2" t="str">
        <f t="shared" si="5"/>
        <v>Clean Record</v>
      </c>
    </row>
    <row r="129" spans="1:11" ht="16.8" x14ac:dyDescent="0.4">
      <c r="A129" s="2" t="str">
        <f>POS_Sales_Report!A129</f>
        <v>POS-1127</v>
      </c>
      <c r="B129" s="2" t="str">
        <f>POS_Sales_Report!B129</f>
        <v>REF-80127</v>
      </c>
      <c r="C129" s="2" t="str">
        <f>POS_Sales_Report!C129</f>
        <v>2026-08-09</v>
      </c>
      <c r="D129" s="2" t="str">
        <f>POS_Sales_Report!D129</f>
        <v>Ninja</v>
      </c>
      <c r="E129" s="3">
        <f>POS_Sales_Report!G129</f>
        <v>69.05</v>
      </c>
      <c r="F129" s="3">
        <f>IFERROR(INDEX(Delivery_Platform_Report!$E:$E,MATCH(B129,Delivery_Platform_Report!$A:$A,0)),0)</f>
        <v>69.05</v>
      </c>
      <c r="G129" s="3">
        <f>IFERROR(INDEX(Delivery_Platform_Report!$H:$H,MATCH(B129,Delivery_Platform_Report!$A:$A,0)),0)</f>
        <v>59.52</v>
      </c>
      <c r="H129" s="3">
        <f t="shared" si="6"/>
        <v>9.529999999999994</v>
      </c>
      <c r="I129" s="3">
        <f t="shared" si="7"/>
        <v>0</v>
      </c>
      <c r="J129" s="2" t="str">
        <f t="shared" si="4"/>
        <v>Matched</v>
      </c>
      <c r="K129" s="2" t="str">
        <f t="shared" si="5"/>
        <v>Clean Record</v>
      </c>
    </row>
    <row r="130" spans="1:11" ht="16.8" x14ac:dyDescent="0.4">
      <c r="A130" s="2" t="str">
        <f>POS_Sales_Report!A130</f>
        <v>POS-1128</v>
      </c>
      <c r="B130" s="2" t="str">
        <f>POS_Sales_Report!B130</f>
        <v>REF-80128</v>
      </c>
      <c r="C130" s="2" t="str">
        <f>POS_Sales_Report!C130</f>
        <v>2026-08-09</v>
      </c>
      <c r="D130" s="2" t="str">
        <f>POS_Sales_Report!D130</f>
        <v>Chefz</v>
      </c>
      <c r="E130" s="3">
        <f>POS_Sales_Report!G130</f>
        <v>67.88</v>
      </c>
      <c r="F130" s="3">
        <f>IFERROR(INDEX(Delivery_Platform_Report!$E:$E,MATCH(B130,Delivery_Platform_Report!$A:$A,0)),0)</f>
        <v>67.88</v>
      </c>
      <c r="G130" s="3">
        <f>IFERROR(INDEX(Delivery_Platform_Report!$H:$H,MATCH(B130,Delivery_Platform_Report!$A:$A,0)),0)</f>
        <v>50.71</v>
      </c>
      <c r="H130" s="3">
        <f t="shared" si="6"/>
        <v>17.169999999999995</v>
      </c>
      <c r="I130" s="3">
        <f t="shared" si="7"/>
        <v>0</v>
      </c>
      <c r="J130" s="2" t="str">
        <f t="shared" ref="J130:J193" si="8">IF(F130=0, "Missing in Platform", IF(ABS(I130)&lt;0.01, "Matched", "Amount Mismatch"))</f>
        <v>Matched</v>
      </c>
      <c r="K130" s="2" t="str">
        <f t="shared" ref="K130:K193" si="9">IF(J130="Matched", "Clean Record", IF(J130="Missing in Platform", "Uncollected Payout - Order Not Found", "Payout Variance - Requires Settlement Audit"))</f>
        <v>Clean Record</v>
      </c>
    </row>
    <row r="131" spans="1:11" ht="16.8" x14ac:dyDescent="0.4">
      <c r="A131" s="2" t="str">
        <f>POS_Sales_Report!A131</f>
        <v>POS-1129</v>
      </c>
      <c r="B131" s="2" t="str">
        <f>POS_Sales_Report!B131</f>
        <v>REF-80129</v>
      </c>
      <c r="C131" s="2" t="str">
        <f>POS_Sales_Report!C131</f>
        <v>2026-08-09</v>
      </c>
      <c r="D131" s="2" t="str">
        <f>POS_Sales_Report!D131</f>
        <v>Chefz</v>
      </c>
      <c r="E131" s="3">
        <f>POS_Sales_Report!G131</f>
        <v>243.6</v>
      </c>
      <c r="F131" s="3">
        <f>IFERROR(INDEX(Delivery_Platform_Report!$E:$E,MATCH(B131,Delivery_Platform_Report!$A:$A,0)),0)</f>
        <v>243.6</v>
      </c>
      <c r="G131" s="3">
        <f>IFERROR(INDEX(Delivery_Platform_Report!$H:$H,MATCH(B131,Delivery_Platform_Report!$A:$A,0)),0)</f>
        <v>181.97</v>
      </c>
      <c r="H131" s="3">
        <f t="shared" ref="H131:H194" si="10">F131-G131</f>
        <v>61.629999999999995</v>
      </c>
      <c r="I131" s="3">
        <f t="shared" ref="I131:I194" si="11">E131-F131</f>
        <v>0</v>
      </c>
      <c r="J131" s="2" t="str">
        <f t="shared" si="8"/>
        <v>Matched</v>
      </c>
      <c r="K131" s="2" t="str">
        <f t="shared" si="9"/>
        <v>Clean Record</v>
      </c>
    </row>
    <row r="132" spans="1:11" ht="16.8" x14ac:dyDescent="0.4">
      <c r="A132" s="2" t="str">
        <f>POS_Sales_Report!A132</f>
        <v>POS-1130</v>
      </c>
      <c r="B132" s="2" t="str">
        <f>POS_Sales_Report!B132</f>
        <v>REF-80130</v>
      </c>
      <c r="C132" s="2" t="str">
        <f>POS_Sales_Report!C132</f>
        <v>2026-08-09</v>
      </c>
      <c r="D132" s="2" t="str">
        <f>POS_Sales_Report!D132</f>
        <v>ToYou</v>
      </c>
      <c r="E132" s="3">
        <f>POS_Sales_Report!G132</f>
        <v>190.06</v>
      </c>
      <c r="F132" s="3">
        <f>IFERROR(INDEX(Delivery_Platform_Report!$E:$E,MATCH(B132,Delivery_Platform_Report!$A:$A,0)),0)</f>
        <v>190.06</v>
      </c>
      <c r="G132" s="3">
        <f>IFERROR(INDEX(Delivery_Platform_Report!$H:$H,MATCH(B132,Delivery_Platform_Report!$A:$A,0)),0)</f>
        <v>157.27000000000001</v>
      </c>
      <c r="H132" s="3">
        <f t="shared" si="10"/>
        <v>32.789999999999992</v>
      </c>
      <c r="I132" s="3">
        <f t="shared" si="11"/>
        <v>0</v>
      </c>
      <c r="J132" s="2" t="str">
        <f t="shared" si="8"/>
        <v>Matched</v>
      </c>
      <c r="K132" s="2" t="str">
        <f t="shared" si="9"/>
        <v>Clean Record</v>
      </c>
    </row>
    <row r="133" spans="1:11" ht="16.8" x14ac:dyDescent="0.4">
      <c r="A133" s="2" t="str">
        <f>POS_Sales_Report!A133</f>
        <v>POS-1131</v>
      </c>
      <c r="B133" s="2" t="str">
        <f>POS_Sales_Report!B133</f>
        <v>REF-80131</v>
      </c>
      <c r="C133" s="2" t="str">
        <f>POS_Sales_Report!C133</f>
        <v>2026-08-09</v>
      </c>
      <c r="D133" s="2" t="str">
        <f>POS_Sales_Report!D133</f>
        <v>Chefz</v>
      </c>
      <c r="E133" s="3">
        <f>POS_Sales_Report!G133</f>
        <v>48.62</v>
      </c>
      <c r="F133" s="3">
        <f>IFERROR(INDEX(Delivery_Platform_Report!$E:$E,MATCH(B133,Delivery_Platform_Report!$A:$A,0)),0)</f>
        <v>48.62</v>
      </c>
      <c r="G133" s="3">
        <f>IFERROR(INDEX(Delivery_Platform_Report!$H:$H,MATCH(B133,Delivery_Platform_Report!$A:$A,0)),0)</f>
        <v>36.32</v>
      </c>
      <c r="H133" s="3">
        <f t="shared" si="10"/>
        <v>12.299999999999997</v>
      </c>
      <c r="I133" s="3">
        <f t="shared" si="11"/>
        <v>0</v>
      </c>
      <c r="J133" s="2" t="str">
        <f t="shared" si="8"/>
        <v>Matched</v>
      </c>
      <c r="K133" s="2" t="str">
        <f t="shared" si="9"/>
        <v>Clean Record</v>
      </c>
    </row>
    <row r="134" spans="1:11" ht="16.8" x14ac:dyDescent="0.4">
      <c r="A134" s="2" t="str">
        <f>POS_Sales_Report!A134</f>
        <v>POS-1132</v>
      </c>
      <c r="B134" s="2" t="str">
        <f>POS_Sales_Report!B134</f>
        <v>REF-80132</v>
      </c>
      <c r="C134" s="2" t="str">
        <f>POS_Sales_Report!C134</f>
        <v>2026-08-09</v>
      </c>
      <c r="D134" s="2" t="str">
        <f>POS_Sales_Report!D134</f>
        <v>Ninja</v>
      </c>
      <c r="E134" s="3">
        <f>POS_Sales_Report!G134</f>
        <v>123.75</v>
      </c>
      <c r="F134" s="3">
        <f>IFERROR(INDEX(Delivery_Platform_Report!$E:$E,MATCH(B134,Delivery_Platform_Report!$A:$A,0)),0)</f>
        <v>123.75</v>
      </c>
      <c r="G134" s="3">
        <f>IFERROR(INDEX(Delivery_Platform_Report!$H:$H,MATCH(B134,Delivery_Platform_Report!$A:$A,0)),0)</f>
        <v>106.67</v>
      </c>
      <c r="H134" s="3">
        <f t="shared" si="10"/>
        <v>17.079999999999998</v>
      </c>
      <c r="I134" s="3">
        <f t="shared" si="11"/>
        <v>0</v>
      </c>
      <c r="J134" s="2" t="str">
        <f t="shared" si="8"/>
        <v>Matched</v>
      </c>
      <c r="K134" s="2" t="str">
        <f t="shared" si="9"/>
        <v>Clean Record</v>
      </c>
    </row>
    <row r="135" spans="1:11" ht="16.8" x14ac:dyDescent="0.4">
      <c r="A135" s="2" t="str">
        <f>POS_Sales_Report!A135</f>
        <v>POS-1133</v>
      </c>
      <c r="B135" s="2" t="str">
        <f>POS_Sales_Report!B135</f>
        <v>REF-80133</v>
      </c>
      <c r="C135" s="2" t="str">
        <f>POS_Sales_Report!C135</f>
        <v>2026-08-09</v>
      </c>
      <c r="D135" s="2" t="str">
        <f>POS_Sales_Report!D135</f>
        <v>Chefz</v>
      </c>
      <c r="E135" s="3">
        <f>POS_Sales_Report!G135</f>
        <v>131.04</v>
      </c>
      <c r="F135" s="3">
        <f>IFERROR(INDEX(Delivery_Platform_Report!$E:$E,MATCH(B135,Delivery_Platform_Report!$A:$A,0)),0)</f>
        <v>131.04</v>
      </c>
      <c r="G135" s="3">
        <f>IFERROR(INDEX(Delivery_Platform_Report!$H:$H,MATCH(B135,Delivery_Platform_Report!$A:$A,0)),0)</f>
        <v>97.89</v>
      </c>
      <c r="H135" s="3">
        <f t="shared" si="10"/>
        <v>33.149999999999991</v>
      </c>
      <c r="I135" s="3">
        <f t="shared" si="11"/>
        <v>0</v>
      </c>
      <c r="J135" s="2" t="str">
        <f t="shared" si="8"/>
        <v>Matched</v>
      </c>
      <c r="K135" s="2" t="str">
        <f t="shared" si="9"/>
        <v>Clean Record</v>
      </c>
    </row>
    <row r="136" spans="1:11" ht="16.8" x14ac:dyDescent="0.4">
      <c r="A136" s="2" t="str">
        <f>POS_Sales_Report!A136</f>
        <v>POS-1134</v>
      </c>
      <c r="B136" s="2" t="str">
        <f>POS_Sales_Report!B136</f>
        <v>REF-80134</v>
      </c>
      <c r="C136" s="2" t="str">
        <f>POS_Sales_Report!C136</f>
        <v>2026-08-09</v>
      </c>
      <c r="D136" s="2" t="str">
        <f>POS_Sales_Report!D136</f>
        <v>ToYou</v>
      </c>
      <c r="E136" s="3">
        <f>POS_Sales_Report!G136</f>
        <v>196.25</v>
      </c>
      <c r="F136" s="3">
        <f>IFERROR(INDEX(Delivery_Platform_Report!$E:$E,MATCH(B136,Delivery_Platform_Report!$A:$A,0)),0)</f>
        <v>196.25</v>
      </c>
      <c r="G136" s="3">
        <f>IFERROR(INDEX(Delivery_Platform_Report!$H:$H,MATCH(B136,Delivery_Platform_Report!$A:$A,0)),0)</f>
        <v>162.38999999999999</v>
      </c>
      <c r="H136" s="3">
        <f t="shared" si="10"/>
        <v>33.860000000000014</v>
      </c>
      <c r="I136" s="3">
        <f t="shared" si="11"/>
        <v>0</v>
      </c>
      <c r="J136" s="2" t="str">
        <f t="shared" si="8"/>
        <v>Matched</v>
      </c>
      <c r="K136" s="2" t="str">
        <f t="shared" si="9"/>
        <v>Clean Record</v>
      </c>
    </row>
    <row r="137" spans="1:11" ht="16.8" x14ac:dyDescent="0.4">
      <c r="A137" s="2" t="str">
        <f>POS_Sales_Report!A137</f>
        <v>POS-1135</v>
      </c>
      <c r="B137" s="2" t="str">
        <f>POS_Sales_Report!B137</f>
        <v>REF-80135</v>
      </c>
      <c r="C137" s="2" t="str">
        <f>POS_Sales_Report!C137</f>
        <v>2026-08-09</v>
      </c>
      <c r="D137" s="2" t="str">
        <f>POS_Sales_Report!D137</f>
        <v>ToYou</v>
      </c>
      <c r="E137" s="3">
        <f>POS_Sales_Report!G137</f>
        <v>83.410000000000011</v>
      </c>
      <c r="F137" s="3">
        <f>IFERROR(INDEX(Delivery_Platform_Report!$E:$E,MATCH(B137,Delivery_Platform_Report!$A:$A,0)),0)</f>
        <v>83.410000000000011</v>
      </c>
      <c r="G137" s="3">
        <f>IFERROR(INDEX(Delivery_Platform_Report!$H:$H,MATCH(B137,Delivery_Platform_Report!$A:$A,0)),0)</f>
        <v>69.02</v>
      </c>
      <c r="H137" s="3">
        <f t="shared" si="10"/>
        <v>14.390000000000015</v>
      </c>
      <c r="I137" s="3">
        <f t="shared" si="11"/>
        <v>0</v>
      </c>
      <c r="J137" s="2" t="str">
        <f t="shared" si="8"/>
        <v>Matched</v>
      </c>
      <c r="K137" s="2" t="str">
        <f t="shared" si="9"/>
        <v>Clean Record</v>
      </c>
    </row>
    <row r="138" spans="1:11" ht="16.8" x14ac:dyDescent="0.4">
      <c r="A138" s="2" t="str">
        <f>POS_Sales_Report!A138</f>
        <v>POS-1136</v>
      </c>
      <c r="B138" s="2" t="str">
        <f>POS_Sales_Report!B138</f>
        <v>REF-80136</v>
      </c>
      <c r="C138" s="2" t="str">
        <f>POS_Sales_Report!C138</f>
        <v>2026-08-09</v>
      </c>
      <c r="D138" s="2" t="str">
        <f>POS_Sales_Report!D138</f>
        <v>Ninja</v>
      </c>
      <c r="E138" s="3">
        <f>POS_Sales_Report!G138</f>
        <v>70.839999999999989</v>
      </c>
      <c r="F138" s="3">
        <f>IFERROR(INDEX(Delivery_Platform_Report!$E:$E,MATCH(B138,Delivery_Platform_Report!$A:$A,0)),0)</f>
        <v>70.839999999999989</v>
      </c>
      <c r="G138" s="3">
        <f>IFERROR(INDEX(Delivery_Platform_Report!$H:$H,MATCH(B138,Delivery_Platform_Report!$A:$A,0)),0)</f>
        <v>61.07</v>
      </c>
      <c r="H138" s="3">
        <f t="shared" si="10"/>
        <v>9.7699999999999889</v>
      </c>
      <c r="I138" s="3">
        <f t="shared" si="11"/>
        <v>0</v>
      </c>
      <c r="J138" s="2" t="str">
        <f t="shared" si="8"/>
        <v>Matched</v>
      </c>
      <c r="K138" s="2" t="str">
        <f t="shared" si="9"/>
        <v>Clean Record</v>
      </c>
    </row>
    <row r="139" spans="1:11" ht="16.8" x14ac:dyDescent="0.4">
      <c r="A139" s="2" t="str">
        <f>POS_Sales_Report!A139</f>
        <v>POS-1137</v>
      </c>
      <c r="B139" s="2" t="str">
        <f>POS_Sales_Report!B139</f>
        <v>REF-80137</v>
      </c>
      <c r="C139" s="2" t="str">
        <f>POS_Sales_Report!C139</f>
        <v>2026-08-09</v>
      </c>
      <c r="D139" s="2" t="str">
        <f>POS_Sales_Report!D139</f>
        <v>Hungerstation</v>
      </c>
      <c r="E139" s="3">
        <f>POS_Sales_Report!G139</f>
        <v>56.98</v>
      </c>
      <c r="F139" s="3">
        <f>IFERROR(INDEX(Delivery_Platform_Report!$E:$E,MATCH(B139,Delivery_Platform_Report!$A:$A,0)),0)</f>
        <v>56.98</v>
      </c>
      <c r="G139" s="3">
        <f>IFERROR(INDEX(Delivery_Platform_Report!$H:$H,MATCH(B139,Delivery_Platform_Report!$A:$A,0)),0)</f>
        <v>43.87</v>
      </c>
      <c r="H139" s="3">
        <f t="shared" si="10"/>
        <v>13.11</v>
      </c>
      <c r="I139" s="3">
        <f t="shared" si="11"/>
        <v>0</v>
      </c>
      <c r="J139" s="2" t="str">
        <f t="shared" si="8"/>
        <v>Matched</v>
      </c>
      <c r="K139" s="2" t="str">
        <f t="shared" si="9"/>
        <v>Clean Record</v>
      </c>
    </row>
    <row r="140" spans="1:11" ht="16.8" x14ac:dyDescent="0.4">
      <c r="A140" s="2" t="str">
        <f>POS_Sales_Report!A140</f>
        <v>POS-1138</v>
      </c>
      <c r="B140" s="2" t="str">
        <f>POS_Sales_Report!B140</f>
        <v>REF-80138</v>
      </c>
      <c r="C140" s="2" t="str">
        <f>POS_Sales_Report!C140</f>
        <v>2026-08-09</v>
      </c>
      <c r="D140" s="2" t="str">
        <f>POS_Sales_Report!D140</f>
        <v>Hungerstation</v>
      </c>
      <c r="E140" s="3">
        <f>POS_Sales_Report!G140</f>
        <v>116.95</v>
      </c>
      <c r="F140" s="3">
        <f>IFERROR(INDEX(Delivery_Platform_Report!$E:$E,MATCH(B140,Delivery_Platform_Report!$A:$A,0)),0)</f>
        <v>116.95</v>
      </c>
      <c r="G140" s="3">
        <f>IFERROR(INDEX(Delivery_Platform_Report!$H:$H,MATCH(B140,Delivery_Platform_Report!$A:$A,0)),0)</f>
        <v>90.05</v>
      </c>
      <c r="H140" s="3">
        <f t="shared" si="10"/>
        <v>26.900000000000006</v>
      </c>
      <c r="I140" s="3">
        <f t="shared" si="11"/>
        <v>0</v>
      </c>
      <c r="J140" s="2" t="str">
        <f t="shared" si="8"/>
        <v>Matched</v>
      </c>
      <c r="K140" s="2" t="str">
        <f t="shared" si="9"/>
        <v>Clean Record</v>
      </c>
    </row>
    <row r="141" spans="1:11" ht="16.8" x14ac:dyDescent="0.4">
      <c r="A141" s="2" t="str">
        <f>POS_Sales_Report!A141</f>
        <v>POS-1139</v>
      </c>
      <c r="B141" s="2" t="str">
        <f>POS_Sales_Report!B141</f>
        <v>REF-80139</v>
      </c>
      <c r="C141" s="2" t="str">
        <f>POS_Sales_Report!C141</f>
        <v>2026-08-09</v>
      </c>
      <c r="D141" s="2" t="str">
        <f>POS_Sales_Report!D141</f>
        <v>Chefz</v>
      </c>
      <c r="E141" s="3">
        <f>POS_Sales_Report!G141</f>
        <v>166.12</v>
      </c>
      <c r="F141" s="3">
        <f>IFERROR(INDEX(Delivery_Platform_Report!$E:$E,MATCH(B141,Delivery_Platform_Report!$A:$A,0)),0)</f>
        <v>166.12</v>
      </c>
      <c r="G141" s="3">
        <f>IFERROR(INDEX(Delivery_Platform_Report!$H:$H,MATCH(B141,Delivery_Platform_Report!$A:$A,0)),0)</f>
        <v>124.09</v>
      </c>
      <c r="H141" s="3">
        <f t="shared" si="10"/>
        <v>42.03</v>
      </c>
      <c r="I141" s="3">
        <f t="shared" si="11"/>
        <v>0</v>
      </c>
      <c r="J141" s="2" t="str">
        <f t="shared" si="8"/>
        <v>Matched</v>
      </c>
      <c r="K141" s="2" t="str">
        <f t="shared" si="9"/>
        <v>Clean Record</v>
      </c>
    </row>
    <row r="142" spans="1:11" ht="16.8" x14ac:dyDescent="0.4">
      <c r="A142" s="2" t="str">
        <f>POS_Sales_Report!A142</f>
        <v>POS-1140</v>
      </c>
      <c r="B142" s="2" t="str">
        <f>POS_Sales_Report!B142</f>
        <v>REF-80140</v>
      </c>
      <c r="C142" s="2" t="str">
        <f>POS_Sales_Report!C142</f>
        <v>2026-08-09</v>
      </c>
      <c r="D142" s="2" t="str">
        <f>POS_Sales_Report!D142</f>
        <v>Jahez</v>
      </c>
      <c r="E142" s="3">
        <f>POS_Sales_Report!G142</f>
        <v>52.22</v>
      </c>
      <c r="F142" s="3">
        <f>IFERROR(INDEX(Delivery_Platform_Report!$E:$E,MATCH(B142,Delivery_Platform_Report!$A:$A,0)),0)</f>
        <v>52.22</v>
      </c>
      <c r="G142" s="3">
        <f>IFERROR(INDEX(Delivery_Platform_Report!$H:$H,MATCH(B142,Delivery_Platform_Report!$A:$A,0)),0)</f>
        <v>41.41</v>
      </c>
      <c r="H142" s="3">
        <f t="shared" si="10"/>
        <v>10.810000000000002</v>
      </c>
      <c r="I142" s="3">
        <f t="shared" si="11"/>
        <v>0</v>
      </c>
      <c r="J142" s="2" t="str">
        <f t="shared" si="8"/>
        <v>Matched</v>
      </c>
      <c r="K142" s="2" t="str">
        <f t="shared" si="9"/>
        <v>Clean Record</v>
      </c>
    </row>
    <row r="143" spans="1:11" ht="16.8" x14ac:dyDescent="0.4">
      <c r="A143" s="2" t="str">
        <f>POS_Sales_Report!A143</f>
        <v>POS-1141</v>
      </c>
      <c r="B143" s="2" t="str">
        <f>POS_Sales_Report!B143</f>
        <v>REF-80141</v>
      </c>
      <c r="C143" s="2" t="str">
        <f>POS_Sales_Report!C143</f>
        <v>2026-08-10</v>
      </c>
      <c r="D143" s="2" t="str">
        <f>POS_Sales_Report!D143</f>
        <v>Chefz</v>
      </c>
      <c r="E143" s="3">
        <f>POS_Sales_Report!G143</f>
        <v>232.19</v>
      </c>
      <c r="F143" s="3">
        <f>IFERROR(INDEX(Delivery_Platform_Report!$E:$E,MATCH(B143,Delivery_Platform_Report!$A:$A,0)),0)</f>
        <v>232.19</v>
      </c>
      <c r="G143" s="3">
        <f>IFERROR(INDEX(Delivery_Platform_Report!$H:$H,MATCH(B143,Delivery_Platform_Report!$A:$A,0)),0)</f>
        <v>173.45</v>
      </c>
      <c r="H143" s="3">
        <f t="shared" si="10"/>
        <v>58.740000000000009</v>
      </c>
      <c r="I143" s="3">
        <f t="shared" si="11"/>
        <v>0</v>
      </c>
      <c r="J143" s="2" t="str">
        <f t="shared" si="8"/>
        <v>Matched</v>
      </c>
      <c r="K143" s="2" t="str">
        <f t="shared" si="9"/>
        <v>Clean Record</v>
      </c>
    </row>
    <row r="144" spans="1:11" ht="16.8" x14ac:dyDescent="0.4">
      <c r="A144" s="2" t="str">
        <f>POS_Sales_Report!A144</f>
        <v>POS-1142</v>
      </c>
      <c r="B144" s="2" t="str">
        <f>POS_Sales_Report!B144</f>
        <v>REF-80142</v>
      </c>
      <c r="C144" s="2" t="str">
        <f>POS_Sales_Report!C144</f>
        <v>2026-08-10</v>
      </c>
      <c r="D144" s="2" t="str">
        <f>POS_Sales_Report!D144</f>
        <v>Ninja</v>
      </c>
      <c r="E144" s="3">
        <f>POS_Sales_Report!G144</f>
        <v>132.88999999999999</v>
      </c>
      <c r="F144" s="3">
        <f>IFERROR(INDEX(Delivery_Platform_Report!$E:$E,MATCH(B144,Delivery_Platform_Report!$A:$A,0)),0)</f>
        <v>132.88999999999999</v>
      </c>
      <c r="G144" s="3">
        <f>IFERROR(INDEX(Delivery_Platform_Report!$H:$H,MATCH(B144,Delivery_Platform_Report!$A:$A,0)),0)</f>
        <v>114.55</v>
      </c>
      <c r="H144" s="3">
        <f t="shared" si="10"/>
        <v>18.339999999999989</v>
      </c>
      <c r="I144" s="3">
        <f t="shared" si="11"/>
        <v>0</v>
      </c>
      <c r="J144" s="2" t="str">
        <f t="shared" si="8"/>
        <v>Matched</v>
      </c>
      <c r="K144" s="2" t="str">
        <f t="shared" si="9"/>
        <v>Clean Record</v>
      </c>
    </row>
    <row r="145" spans="1:11" ht="16.8" x14ac:dyDescent="0.4">
      <c r="A145" s="2" t="str">
        <f>POS_Sales_Report!A145</f>
        <v>POS-1143</v>
      </c>
      <c r="B145" s="2" t="str">
        <f>POS_Sales_Report!B145</f>
        <v>REF-80143</v>
      </c>
      <c r="C145" s="2" t="str">
        <f>POS_Sales_Report!C145</f>
        <v>2026-08-10</v>
      </c>
      <c r="D145" s="2" t="str">
        <f>POS_Sales_Report!D145</f>
        <v>Ninja</v>
      </c>
      <c r="E145" s="3">
        <f>POS_Sales_Report!G145</f>
        <v>90.36</v>
      </c>
      <c r="F145" s="3">
        <f>IFERROR(INDEX(Delivery_Platform_Report!$E:$E,MATCH(B145,Delivery_Platform_Report!$A:$A,0)),0)</f>
        <v>90.36</v>
      </c>
      <c r="G145" s="3">
        <f>IFERROR(INDEX(Delivery_Platform_Report!$H:$H,MATCH(B145,Delivery_Platform_Report!$A:$A,0)),0)</f>
        <v>77.89</v>
      </c>
      <c r="H145" s="3">
        <f t="shared" si="10"/>
        <v>12.469999999999999</v>
      </c>
      <c r="I145" s="3">
        <f t="shared" si="11"/>
        <v>0</v>
      </c>
      <c r="J145" s="2" t="str">
        <f t="shared" si="8"/>
        <v>Matched</v>
      </c>
      <c r="K145" s="2" t="str">
        <f t="shared" si="9"/>
        <v>Clean Record</v>
      </c>
    </row>
    <row r="146" spans="1:11" ht="16.8" x14ac:dyDescent="0.4">
      <c r="A146" s="2" t="str">
        <f>POS_Sales_Report!A146</f>
        <v>POS-1144</v>
      </c>
      <c r="B146" s="2" t="str">
        <f>POS_Sales_Report!B146</f>
        <v>REF-80144</v>
      </c>
      <c r="C146" s="2" t="str">
        <f>POS_Sales_Report!C146</f>
        <v>2026-08-10</v>
      </c>
      <c r="D146" s="2" t="str">
        <f>POS_Sales_Report!D146</f>
        <v>Ninja</v>
      </c>
      <c r="E146" s="3">
        <f>POS_Sales_Report!G146</f>
        <v>59.71</v>
      </c>
      <c r="F146" s="3">
        <f>IFERROR(INDEX(Delivery_Platform_Report!$E:$E,MATCH(B146,Delivery_Platform_Report!$A:$A,0)),0)</f>
        <v>59.71</v>
      </c>
      <c r="G146" s="3">
        <f>IFERROR(INDEX(Delivery_Platform_Report!$H:$H,MATCH(B146,Delivery_Platform_Report!$A:$A,0)),0)</f>
        <v>51.46</v>
      </c>
      <c r="H146" s="3">
        <f t="shared" si="10"/>
        <v>8.25</v>
      </c>
      <c r="I146" s="3">
        <f t="shared" si="11"/>
        <v>0</v>
      </c>
      <c r="J146" s="2" t="str">
        <f t="shared" si="8"/>
        <v>Matched</v>
      </c>
      <c r="K146" s="2" t="str">
        <f t="shared" si="9"/>
        <v>Clean Record</v>
      </c>
    </row>
    <row r="147" spans="1:11" ht="16.8" x14ac:dyDescent="0.4">
      <c r="A147" s="2" t="str">
        <f>POS_Sales_Report!A147</f>
        <v>POS-1145</v>
      </c>
      <c r="B147" s="2" t="str">
        <f>POS_Sales_Report!B147</f>
        <v>REF-80145</v>
      </c>
      <c r="C147" s="2" t="str">
        <f>POS_Sales_Report!C147</f>
        <v>2026-08-10</v>
      </c>
      <c r="D147" s="2" t="str">
        <f>POS_Sales_Report!D147</f>
        <v>Ninja</v>
      </c>
      <c r="E147" s="3">
        <f>POS_Sales_Report!G147</f>
        <v>78.400000000000006</v>
      </c>
      <c r="F147" s="3">
        <f>IFERROR(INDEX(Delivery_Platform_Report!$E:$E,MATCH(B147,Delivery_Platform_Report!$A:$A,0)),0)</f>
        <v>78.400000000000006</v>
      </c>
      <c r="G147" s="3">
        <f>IFERROR(INDEX(Delivery_Platform_Report!$H:$H,MATCH(B147,Delivery_Platform_Report!$A:$A,0)),0)</f>
        <v>67.58</v>
      </c>
      <c r="H147" s="3">
        <f t="shared" si="10"/>
        <v>10.820000000000007</v>
      </c>
      <c r="I147" s="3">
        <f t="shared" si="11"/>
        <v>0</v>
      </c>
      <c r="J147" s="2" t="str">
        <f t="shared" si="8"/>
        <v>Matched</v>
      </c>
      <c r="K147" s="2" t="str">
        <f t="shared" si="9"/>
        <v>Clean Record</v>
      </c>
    </row>
    <row r="148" spans="1:11" ht="16.8" x14ac:dyDescent="0.4">
      <c r="A148" s="2" t="str">
        <f>POS_Sales_Report!A148</f>
        <v>POS-1146</v>
      </c>
      <c r="B148" s="2" t="str">
        <f>POS_Sales_Report!B148</f>
        <v>REF-80146</v>
      </c>
      <c r="C148" s="2" t="str">
        <f>POS_Sales_Report!C148</f>
        <v>2026-08-10</v>
      </c>
      <c r="D148" s="2" t="str">
        <f>POS_Sales_Report!D148</f>
        <v>Ninja</v>
      </c>
      <c r="E148" s="3">
        <f>POS_Sales_Report!G148</f>
        <v>212.64</v>
      </c>
      <c r="F148" s="3">
        <f>IFERROR(INDEX(Delivery_Platform_Report!$E:$E,MATCH(B148,Delivery_Platform_Report!$A:$A,0)),0)</f>
        <v>212.64</v>
      </c>
      <c r="G148" s="3">
        <f>IFERROR(INDEX(Delivery_Platform_Report!$H:$H,MATCH(B148,Delivery_Platform_Report!$A:$A,0)),0)</f>
        <v>183.29</v>
      </c>
      <c r="H148" s="3">
        <f t="shared" si="10"/>
        <v>29.349999999999994</v>
      </c>
      <c r="I148" s="3">
        <f t="shared" si="11"/>
        <v>0</v>
      </c>
      <c r="J148" s="2" t="str">
        <f t="shared" si="8"/>
        <v>Matched</v>
      </c>
      <c r="K148" s="2" t="str">
        <f t="shared" si="9"/>
        <v>Clean Record</v>
      </c>
    </row>
    <row r="149" spans="1:11" ht="16.8" x14ac:dyDescent="0.4">
      <c r="A149" s="2" t="str">
        <f>POS_Sales_Report!A149</f>
        <v>POS-1147</v>
      </c>
      <c r="B149" s="2" t="str">
        <f>POS_Sales_Report!B149</f>
        <v>REF-80147</v>
      </c>
      <c r="C149" s="2" t="str">
        <f>POS_Sales_Report!C149</f>
        <v>2026-08-10</v>
      </c>
      <c r="D149" s="2" t="str">
        <f>POS_Sales_Report!D149</f>
        <v>ToYou</v>
      </c>
      <c r="E149" s="3">
        <f>POS_Sales_Report!G149</f>
        <v>156.63999999999999</v>
      </c>
      <c r="F149" s="3">
        <f>IFERROR(INDEX(Delivery_Platform_Report!$E:$E,MATCH(B149,Delivery_Platform_Report!$A:$A,0)),0)</f>
        <v>156.63999999999999</v>
      </c>
      <c r="G149" s="3">
        <f>IFERROR(INDEX(Delivery_Platform_Report!$H:$H,MATCH(B149,Delivery_Platform_Report!$A:$A,0)),0)</f>
        <v>129.62</v>
      </c>
      <c r="H149" s="3">
        <f t="shared" si="10"/>
        <v>27.019999999999982</v>
      </c>
      <c r="I149" s="3">
        <f t="shared" si="11"/>
        <v>0</v>
      </c>
      <c r="J149" s="2" t="str">
        <f t="shared" si="8"/>
        <v>Matched</v>
      </c>
      <c r="K149" s="2" t="str">
        <f t="shared" si="9"/>
        <v>Clean Record</v>
      </c>
    </row>
    <row r="150" spans="1:11" ht="16.8" x14ac:dyDescent="0.4">
      <c r="A150" s="2" t="str">
        <f>POS_Sales_Report!A150</f>
        <v>POS-1148</v>
      </c>
      <c r="B150" s="2" t="str">
        <f>POS_Sales_Report!B150</f>
        <v>REF-80148</v>
      </c>
      <c r="C150" s="2" t="str">
        <f>POS_Sales_Report!C150</f>
        <v>2026-08-10</v>
      </c>
      <c r="D150" s="2" t="str">
        <f>POS_Sales_Report!D150</f>
        <v>Hungerstation</v>
      </c>
      <c r="E150" s="3">
        <f>POS_Sales_Report!G150</f>
        <v>148.51</v>
      </c>
      <c r="F150" s="3">
        <f>IFERROR(INDEX(Delivery_Platform_Report!$E:$E,MATCH(B150,Delivery_Platform_Report!$A:$A,0)),0)</f>
        <v>148.51</v>
      </c>
      <c r="G150" s="3">
        <f>IFERROR(INDEX(Delivery_Platform_Report!$H:$H,MATCH(B150,Delivery_Platform_Report!$A:$A,0)),0)</f>
        <v>114.35</v>
      </c>
      <c r="H150" s="3">
        <f t="shared" si="10"/>
        <v>34.159999999999997</v>
      </c>
      <c r="I150" s="3">
        <f t="shared" si="11"/>
        <v>0</v>
      </c>
      <c r="J150" s="2" t="str">
        <f t="shared" si="8"/>
        <v>Matched</v>
      </c>
      <c r="K150" s="2" t="str">
        <f t="shared" si="9"/>
        <v>Clean Record</v>
      </c>
    </row>
    <row r="151" spans="1:11" ht="16.8" x14ac:dyDescent="0.4">
      <c r="A151" s="2" t="str">
        <f>POS_Sales_Report!A151</f>
        <v>POS-1149</v>
      </c>
      <c r="B151" s="2" t="str">
        <f>POS_Sales_Report!B151</f>
        <v>REF-80149</v>
      </c>
      <c r="C151" s="2" t="str">
        <f>POS_Sales_Report!C151</f>
        <v>2026-08-10</v>
      </c>
      <c r="D151" s="2" t="str">
        <f>POS_Sales_Report!D151</f>
        <v>Ninja</v>
      </c>
      <c r="E151" s="3">
        <f>POS_Sales_Report!G151</f>
        <v>177.99</v>
      </c>
      <c r="F151" s="3">
        <f>IFERROR(INDEX(Delivery_Platform_Report!$E:$E,MATCH(B151,Delivery_Platform_Report!$A:$A,0)),0)</f>
        <v>177.99</v>
      </c>
      <c r="G151" s="3">
        <f>IFERROR(INDEX(Delivery_Platform_Report!$H:$H,MATCH(B151,Delivery_Platform_Report!$A:$A,0)),0)</f>
        <v>153.43</v>
      </c>
      <c r="H151" s="3">
        <f t="shared" si="10"/>
        <v>24.560000000000002</v>
      </c>
      <c r="I151" s="3">
        <f t="shared" si="11"/>
        <v>0</v>
      </c>
      <c r="J151" s="2" t="str">
        <f t="shared" si="8"/>
        <v>Matched</v>
      </c>
      <c r="K151" s="2" t="str">
        <f t="shared" si="9"/>
        <v>Clean Record</v>
      </c>
    </row>
    <row r="152" spans="1:11" ht="16.8" x14ac:dyDescent="0.4">
      <c r="A152" s="2" t="str">
        <f>POS_Sales_Report!A152</f>
        <v>POS-1150</v>
      </c>
      <c r="B152" s="2" t="str">
        <f>POS_Sales_Report!B152</f>
        <v>REF-80150</v>
      </c>
      <c r="C152" s="2" t="str">
        <f>POS_Sales_Report!C152</f>
        <v>2026-08-10</v>
      </c>
      <c r="D152" s="2" t="str">
        <f>POS_Sales_Report!D152</f>
        <v>Jahez</v>
      </c>
      <c r="E152" s="3">
        <f>POS_Sales_Report!G152</f>
        <v>131.49</v>
      </c>
      <c r="F152" s="3">
        <f>IFERROR(INDEX(Delivery_Platform_Report!$E:$E,MATCH(B152,Delivery_Platform_Report!$A:$A,0)),0)</f>
        <v>131.49</v>
      </c>
      <c r="G152" s="3">
        <f>IFERROR(INDEX(Delivery_Platform_Report!$H:$H,MATCH(B152,Delivery_Platform_Report!$A:$A,0)),0)</f>
        <v>104.27</v>
      </c>
      <c r="H152" s="3">
        <f t="shared" si="10"/>
        <v>27.220000000000013</v>
      </c>
      <c r="I152" s="3">
        <f t="shared" si="11"/>
        <v>0</v>
      </c>
      <c r="J152" s="2" t="str">
        <f t="shared" si="8"/>
        <v>Matched</v>
      </c>
      <c r="K152" s="2" t="str">
        <f t="shared" si="9"/>
        <v>Clean Record</v>
      </c>
    </row>
    <row r="153" spans="1:11" ht="16.8" x14ac:dyDescent="0.4">
      <c r="A153" s="2" t="str">
        <f>POS_Sales_Report!A153</f>
        <v>POS-1151</v>
      </c>
      <c r="B153" s="2" t="str">
        <f>POS_Sales_Report!B153</f>
        <v>REF-80151</v>
      </c>
      <c r="C153" s="2" t="str">
        <f>POS_Sales_Report!C153</f>
        <v>2026-08-10</v>
      </c>
      <c r="D153" s="2" t="str">
        <f>POS_Sales_Report!D153</f>
        <v>Jahez</v>
      </c>
      <c r="E153" s="3">
        <f>POS_Sales_Report!G153</f>
        <v>193.31</v>
      </c>
      <c r="F153" s="3">
        <f>IFERROR(INDEX(Delivery_Platform_Report!$E:$E,MATCH(B153,Delivery_Platform_Report!$A:$A,0)),0)</f>
        <v>193.31</v>
      </c>
      <c r="G153" s="3">
        <f>IFERROR(INDEX(Delivery_Platform_Report!$H:$H,MATCH(B153,Delivery_Platform_Report!$A:$A,0)),0)</f>
        <v>153.29</v>
      </c>
      <c r="H153" s="3">
        <f t="shared" si="10"/>
        <v>40.02000000000001</v>
      </c>
      <c r="I153" s="3">
        <f t="shared" si="11"/>
        <v>0</v>
      </c>
      <c r="J153" s="2" t="str">
        <f t="shared" si="8"/>
        <v>Matched</v>
      </c>
      <c r="K153" s="2" t="str">
        <f t="shared" si="9"/>
        <v>Clean Record</v>
      </c>
    </row>
    <row r="154" spans="1:11" ht="16.8" x14ac:dyDescent="0.4">
      <c r="A154" s="2" t="str">
        <f>POS_Sales_Report!A154</f>
        <v>POS-1152</v>
      </c>
      <c r="B154" s="2" t="str">
        <f>POS_Sales_Report!B154</f>
        <v>REF-80152</v>
      </c>
      <c r="C154" s="2" t="str">
        <f>POS_Sales_Report!C154</f>
        <v>2026-08-10</v>
      </c>
      <c r="D154" s="2" t="str">
        <f>POS_Sales_Report!D154</f>
        <v>Jahez</v>
      </c>
      <c r="E154" s="3">
        <f>POS_Sales_Report!G154</f>
        <v>50.02</v>
      </c>
      <c r="F154" s="3">
        <f>IFERROR(INDEX(Delivery_Platform_Report!$E:$E,MATCH(B154,Delivery_Platform_Report!$A:$A,0)),0)</f>
        <v>50.02</v>
      </c>
      <c r="G154" s="3">
        <f>IFERROR(INDEX(Delivery_Platform_Report!$H:$H,MATCH(B154,Delivery_Platform_Report!$A:$A,0)),0)</f>
        <v>39.67</v>
      </c>
      <c r="H154" s="3">
        <f t="shared" si="10"/>
        <v>10.350000000000001</v>
      </c>
      <c r="I154" s="3">
        <f t="shared" si="11"/>
        <v>0</v>
      </c>
      <c r="J154" s="2" t="str">
        <f t="shared" si="8"/>
        <v>Matched</v>
      </c>
      <c r="K154" s="2" t="str">
        <f t="shared" si="9"/>
        <v>Clean Record</v>
      </c>
    </row>
    <row r="155" spans="1:11" ht="16.8" x14ac:dyDescent="0.4">
      <c r="A155" s="2" t="str">
        <f>POS_Sales_Report!A155</f>
        <v>POS-1153</v>
      </c>
      <c r="B155" s="2" t="str">
        <f>POS_Sales_Report!B155</f>
        <v>REF-80153</v>
      </c>
      <c r="C155" s="2" t="str">
        <f>POS_Sales_Report!C155</f>
        <v>2026-08-10</v>
      </c>
      <c r="D155" s="2" t="str">
        <f>POS_Sales_Report!D155</f>
        <v>Jahez</v>
      </c>
      <c r="E155" s="3">
        <f>POS_Sales_Report!G155</f>
        <v>142.97999999999999</v>
      </c>
      <c r="F155" s="3">
        <f>IFERROR(INDEX(Delivery_Platform_Report!$E:$E,MATCH(B155,Delivery_Platform_Report!$A:$A,0)),0)</f>
        <v>142.97999999999999</v>
      </c>
      <c r="G155" s="3">
        <f>IFERROR(INDEX(Delivery_Platform_Report!$H:$H,MATCH(B155,Delivery_Platform_Report!$A:$A,0)),0)</f>
        <v>113.38</v>
      </c>
      <c r="H155" s="3">
        <f t="shared" si="10"/>
        <v>29.599999999999994</v>
      </c>
      <c r="I155" s="3">
        <f t="shared" si="11"/>
        <v>0</v>
      </c>
      <c r="J155" s="2" t="str">
        <f t="shared" si="8"/>
        <v>Matched</v>
      </c>
      <c r="K155" s="2" t="str">
        <f t="shared" si="9"/>
        <v>Clean Record</v>
      </c>
    </row>
    <row r="156" spans="1:11" ht="16.8" x14ac:dyDescent="0.4">
      <c r="A156" s="2" t="str">
        <f>POS_Sales_Report!A156</f>
        <v>POS-1154</v>
      </c>
      <c r="B156" s="2" t="str">
        <f>POS_Sales_Report!B156</f>
        <v>REF-80154</v>
      </c>
      <c r="C156" s="2" t="str">
        <f>POS_Sales_Report!C156</f>
        <v>2026-08-10</v>
      </c>
      <c r="D156" s="2" t="str">
        <f>POS_Sales_Report!D156</f>
        <v>ToYou</v>
      </c>
      <c r="E156" s="3">
        <f>POS_Sales_Report!G156</f>
        <v>73.319999999999993</v>
      </c>
      <c r="F156" s="3">
        <f>IFERROR(INDEX(Delivery_Platform_Report!$E:$E,MATCH(B156,Delivery_Platform_Report!$A:$A,0)),0)</f>
        <v>73.319999999999993</v>
      </c>
      <c r="G156" s="3">
        <f>IFERROR(INDEX(Delivery_Platform_Report!$H:$H,MATCH(B156,Delivery_Platform_Report!$A:$A,0)),0)</f>
        <v>60.67</v>
      </c>
      <c r="H156" s="3">
        <f t="shared" si="10"/>
        <v>12.649999999999991</v>
      </c>
      <c r="I156" s="3">
        <f t="shared" si="11"/>
        <v>0</v>
      </c>
      <c r="J156" s="2" t="str">
        <f t="shared" si="8"/>
        <v>Matched</v>
      </c>
      <c r="K156" s="2" t="str">
        <f t="shared" si="9"/>
        <v>Clean Record</v>
      </c>
    </row>
    <row r="157" spans="1:11" ht="16.8" x14ac:dyDescent="0.4">
      <c r="A157" s="2" t="str">
        <f>POS_Sales_Report!A157</f>
        <v>POS-1155</v>
      </c>
      <c r="B157" s="2" t="str">
        <f>POS_Sales_Report!B157</f>
        <v>REF-80155</v>
      </c>
      <c r="C157" s="2" t="str">
        <f>POS_Sales_Report!C157</f>
        <v>2026-08-10</v>
      </c>
      <c r="D157" s="2" t="str">
        <f>POS_Sales_Report!D157</f>
        <v>Jahez</v>
      </c>
      <c r="E157" s="3">
        <f>POS_Sales_Report!G157</f>
        <v>58.710000000000008</v>
      </c>
      <c r="F157" s="3">
        <f>IFERROR(INDEX(Delivery_Platform_Report!$E:$E,MATCH(B157,Delivery_Platform_Report!$A:$A,0)),0)</f>
        <v>58.710000000000008</v>
      </c>
      <c r="G157" s="3">
        <f>IFERROR(INDEX(Delivery_Platform_Report!$H:$H,MATCH(B157,Delivery_Platform_Report!$A:$A,0)),0)</f>
        <v>46.55</v>
      </c>
      <c r="H157" s="3">
        <f t="shared" si="10"/>
        <v>12.160000000000011</v>
      </c>
      <c r="I157" s="3">
        <f t="shared" si="11"/>
        <v>0</v>
      </c>
      <c r="J157" s="2" t="str">
        <f t="shared" si="8"/>
        <v>Matched</v>
      </c>
      <c r="K157" s="2" t="str">
        <f t="shared" si="9"/>
        <v>Clean Record</v>
      </c>
    </row>
    <row r="158" spans="1:11" ht="16.8" x14ac:dyDescent="0.4">
      <c r="A158" s="2" t="str">
        <f>POS_Sales_Report!A158</f>
        <v>POS-1156</v>
      </c>
      <c r="B158" s="2" t="str">
        <f>POS_Sales_Report!B158</f>
        <v>REF-80156</v>
      </c>
      <c r="C158" s="2" t="str">
        <f>POS_Sales_Report!C158</f>
        <v>2026-08-10</v>
      </c>
      <c r="D158" s="2" t="str">
        <f>POS_Sales_Report!D158</f>
        <v>Ninja</v>
      </c>
      <c r="E158" s="3">
        <f>POS_Sales_Report!G158</f>
        <v>100.61</v>
      </c>
      <c r="F158" s="3">
        <f>IFERROR(INDEX(Delivery_Platform_Report!$E:$E,MATCH(B158,Delivery_Platform_Report!$A:$A,0)),0)</f>
        <v>100.61</v>
      </c>
      <c r="G158" s="3">
        <f>IFERROR(INDEX(Delivery_Platform_Report!$H:$H,MATCH(B158,Delivery_Platform_Report!$A:$A,0)),0)</f>
        <v>86.73</v>
      </c>
      <c r="H158" s="3">
        <f t="shared" si="10"/>
        <v>13.879999999999995</v>
      </c>
      <c r="I158" s="3">
        <f t="shared" si="11"/>
        <v>0</v>
      </c>
      <c r="J158" s="2" t="str">
        <f t="shared" si="8"/>
        <v>Matched</v>
      </c>
      <c r="K158" s="2" t="str">
        <f t="shared" si="9"/>
        <v>Clean Record</v>
      </c>
    </row>
    <row r="159" spans="1:11" ht="16.8" x14ac:dyDescent="0.4">
      <c r="A159" s="2" t="str">
        <f>POS_Sales_Report!A159</f>
        <v>POS-1157</v>
      </c>
      <c r="B159" s="2" t="str">
        <f>POS_Sales_Report!B159</f>
        <v>REF-80157</v>
      </c>
      <c r="C159" s="2" t="str">
        <f>POS_Sales_Report!C159</f>
        <v>2026-08-11</v>
      </c>
      <c r="D159" s="2" t="str">
        <f>POS_Sales_Report!D159</f>
        <v>Chefz</v>
      </c>
      <c r="E159" s="3">
        <f>POS_Sales_Report!G159</f>
        <v>59.28</v>
      </c>
      <c r="F159" s="3">
        <f>IFERROR(INDEX(Delivery_Platform_Report!$E:$E,MATCH(B159,Delivery_Platform_Report!$A:$A,0)),0)</f>
        <v>59.28</v>
      </c>
      <c r="G159" s="3">
        <f>IFERROR(INDEX(Delivery_Platform_Report!$H:$H,MATCH(B159,Delivery_Platform_Report!$A:$A,0)),0)</f>
        <v>44.28</v>
      </c>
      <c r="H159" s="3">
        <f t="shared" si="10"/>
        <v>15</v>
      </c>
      <c r="I159" s="3">
        <f t="shared" si="11"/>
        <v>0</v>
      </c>
      <c r="J159" s="2" t="str">
        <f t="shared" si="8"/>
        <v>Matched</v>
      </c>
      <c r="K159" s="2" t="str">
        <f t="shared" si="9"/>
        <v>Clean Record</v>
      </c>
    </row>
    <row r="160" spans="1:11" ht="16.8" x14ac:dyDescent="0.4">
      <c r="A160" s="2" t="str">
        <f>POS_Sales_Report!A160</f>
        <v>POS-1158</v>
      </c>
      <c r="B160" s="2" t="str">
        <f>POS_Sales_Report!B160</f>
        <v>REF-80158</v>
      </c>
      <c r="C160" s="2" t="str">
        <f>POS_Sales_Report!C160</f>
        <v>2026-08-11</v>
      </c>
      <c r="D160" s="2" t="str">
        <f>POS_Sales_Report!D160</f>
        <v>Jahez</v>
      </c>
      <c r="E160" s="3">
        <f>POS_Sales_Report!G160</f>
        <v>53.790000000000013</v>
      </c>
      <c r="F160" s="3">
        <f>IFERROR(INDEX(Delivery_Platform_Report!$E:$E,MATCH(B160,Delivery_Platform_Report!$A:$A,0)),0)</f>
        <v>53.790000000000013</v>
      </c>
      <c r="G160" s="3">
        <f>IFERROR(INDEX(Delivery_Platform_Report!$H:$H,MATCH(B160,Delivery_Platform_Report!$A:$A,0)),0)</f>
        <v>42.66</v>
      </c>
      <c r="H160" s="3">
        <f t="shared" si="10"/>
        <v>11.130000000000017</v>
      </c>
      <c r="I160" s="3">
        <f t="shared" si="11"/>
        <v>0</v>
      </c>
      <c r="J160" s="2" t="str">
        <f t="shared" si="8"/>
        <v>Matched</v>
      </c>
      <c r="K160" s="2" t="str">
        <f t="shared" si="9"/>
        <v>Clean Record</v>
      </c>
    </row>
    <row r="161" spans="1:11" ht="16.8" x14ac:dyDescent="0.4">
      <c r="A161" s="2" t="str">
        <f>POS_Sales_Report!A161</f>
        <v>POS-1159</v>
      </c>
      <c r="B161" s="2" t="str">
        <f>POS_Sales_Report!B161</f>
        <v>REF-80159</v>
      </c>
      <c r="C161" s="2" t="str">
        <f>POS_Sales_Report!C161</f>
        <v>2026-08-11</v>
      </c>
      <c r="D161" s="2" t="str">
        <f>POS_Sales_Report!D161</f>
        <v>ToYou</v>
      </c>
      <c r="E161" s="3">
        <f>POS_Sales_Report!G161</f>
        <v>105.4</v>
      </c>
      <c r="F161" s="3">
        <f>IFERROR(INDEX(Delivery_Platform_Report!$E:$E,MATCH(B161,Delivery_Platform_Report!$A:$A,0)),0)</f>
        <v>105.4</v>
      </c>
      <c r="G161" s="3">
        <f>IFERROR(INDEX(Delivery_Platform_Report!$H:$H,MATCH(B161,Delivery_Platform_Report!$A:$A,0)),0)</f>
        <v>87.22</v>
      </c>
      <c r="H161" s="3">
        <f t="shared" si="10"/>
        <v>18.180000000000007</v>
      </c>
      <c r="I161" s="3">
        <f t="shared" si="11"/>
        <v>0</v>
      </c>
      <c r="J161" s="2" t="str">
        <f t="shared" si="8"/>
        <v>Matched</v>
      </c>
      <c r="K161" s="2" t="str">
        <f t="shared" si="9"/>
        <v>Clean Record</v>
      </c>
    </row>
    <row r="162" spans="1:11" ht="16.8" x14ac:dyDescent="0.4">
      <c r="A162" s="2" t="str">
        <f>POS_Sales_Report!A162</f>
        <v>POS-1160</v>
      </c>
      <c r="B162" s="2" t="str">
        <f>POS_Sales_Report!B162</f>
        <v>REF-80160</v>
      </c>
      <c r="C162" s="2" t="str">
        <f>POS_Sales_Report!C162</f>
        <v>2026-08-11</v>
      </c>
      <c r="D162" s="2" t="str">
        <f>POS_Sales_Report!D162</f>
        <v>ToYou</v>
      </c>
      <c r="E162" s="3">
        <f>POS_Sales_Report!G162</f>
        <v>245.7</v>
      </c>
      <c r="F162" s="3">
        <f>IFERROR(INDEX(Delivery_Platform_Report!$E:$E,MATCH(B162,Delivery_Platform_Report!$A:$A,0)),0)</f>
        <v>245.7</v>
      </c>
      <c r="G162" s="3">
        <f>IFERROR(INDEX(Delivery_Platform_Report!$H:$H,MATCH(B162,Delivery_Platform_Report!$A:$A,0)),0)</f>
        <v>203.32</v>
      </c>
      <c r="H162" s="3">
        <f t="shared" si="10"/>
        <v>42.379999999999995</v>
      </c>
      <c r="I162" s="3">
        <f t="shared" si="11"/>
        <v>0</v>
      </c>
      <c r="J162" s="2" t="str">
        <f t="shared" si="8"/>
        <v>Matched</v>
      </c>
      <c r="K162" s="2" t="str">
        <f t="shared" si="9"/>
        <v>Clean Record</v>
      </c>
    </row>
    <row r="163" spans="1:11" ht="16.8" x14ac:dyDescent="0.4">
      <c r="A163" s="2" t="str">
        <f>POS_Sales_Report!A163</f>
        <v>POS-1161</v>
      </c>
      <c r="B163" s="2" t="str">
        <f>POS_Sales_Report!B163</f>
        <v>REF-80161</v>
      </c>
      <c r="C163" s="2" t="str">
        <f>POS_Sales_Report!C163</f>
        <v>2026-08-11</v>
      </c>
      <c r="D163" s="2" t="str">
        <f>POS_Sales_Report!D163</f>
        <v>Jahez</v>
      </c>
      <c r="E163" s="3">
        <f>POS_Sales_Report!G163</f>
        <v>76.819999999999993</v>
      </c>
      <c r="F163" s="3">
        <f>IFERROR(INDEX(Delivery_Platform_Report!$E:$E,MATCH(B163,Delivery_Platform_Report!$A:$A,0)),0)</f>
        <v>76.819999999999993</v>
      </c>
      <c r="G163" s="3">
        <f>IFERROR(INDEX(Delivery_Platform_Report!$H:$H,MATCH(B163,Delivery_Platform_Report!$A:$A,0)),0)</f>
        <v>60.92</v>
      </c>
      <c r="H163" s="3">
        <f t="shared" si="10"/>
        <v>15.899999999999991</v>
      </c>
      <c r="I163" s="3">
        <f t="shared" si="11"/>
        <v>0</v>
      </c>
      <c r="J163" s="2" t="str">
        <f t="shared" si="8"/>
        <v>Matched</v>
      </c>
      <c r="K163" s="2" t="str">
        <f t="shared" si="9"/>
        <v>Clean Record</v>
      </c>
    </row>
    <row r="164" spans="1:11" ht="16.8" x14ac:dyDescent="0.4">
      <c r="A164" s="2" t="str">
        <f>POS_Sales_Report!A164</f>
        <v>POS-1162</v>
      </c>
      <c r="B164" s="2" t="str">
        <f>POS_Sales_Report!B164</f>
        <v>REF-80162</v>
      </c>
      <c r="C164" s="2" t="str">
        <f>POS_Sales_Report!C164</f>
        <v>2026-08-11</v>
      </c>
      <c r="D164" s="2" t="str">
        <f>POS_Sales_Report!D164</f>
        <v>Chefz</v>
      </c>
      <c r="E164" s="3">
        <f>POS_Sales_Report!G164</f>
        <v>39.24</v>
      </c>
      <c r="F164" s="3">
        <f>IFERROR(INDEX(Delivery_Platform_Report!$E:$E,MATCH(B164,Delivery_Platform_Report!$A:$A,0)),0)</f>
        <v>39.24</v>
      </c>
      <c r="G164" s="3">
        <f>IFERROR(INDEX(Delivery_Platform_Report!$H:$H,MATCH(B164,Delivery_Platform_Report!$A:$A,0)),0)</f>
        <v>29.32</v>
      </c>
      <c r="H164" s="3">
        <f t="shared" si="10"/>
        <v>9.9200000000000017</v>
      </c>
      <c r="I164" s="3">
        <f t="shared" si="11"/>
        <v>0</v>
      </c>
      <c r="J164" s="2" t="str">
        <f t="shared" si="8"/>
        <v>Matched</v>
      </c>
      <c r="K164" s="2" t="str">
        <f t="shared" si="9"/>
        <v>Clean Record</v>
      </c>
    </row>
    <row r="165" spans="1:11" ht="16.8" x14ac:dyDescent="0.4">
      <c r="A165" s="2" t="str">
        <f>POS_Sales_Report!A165</f>
        <v>POS-1163</v>
      </c>
      <c r="B165" s="2" t="str">
        <f>POS_Sales_Report!B165</f>
        <v>REF-80163</v>
      </c>
      <c r="C165" s="2" t="str">
        <f>POS_Sales_Report!C165</f>
        <v>2026-08-11</v>
      </c>
      <c r="D165" s="2" t="str">
        <f>POS_Sales_Report!D165</f>
        <v>Jahez</v>
      </c>
      <c r="E165" s="3">
        <f>POS_Sales_Report!G165</f>
        <v>200.31</v>
      </c>
      <c r="F165" s="3">
        <f>IFERROR(INDEX(Delivery_Platform_Report!$E:$E,MATCH(B165,Delivery_Platform_Report!$A:$A,0)),0)</f>
        <v>200.31</v>
      </c>
      <c r="G165" s="3">
        <f>IFERROR(INDEX(Delivery_Platform_Report!$H:$H,MATCH(B165,Delivery_Platform_Report!$A:$A,0)),0)</f>
        <v>158.84</v>
      </c>
      <c r="H165" s="3">
        <f t="shared" si="10"/>
        <v>41.47</v>
      </c>
      <c r="I165" s="3">
        <f t="shared" si="11"/>
        <v>0</v>
      </c>
      <c r="J165" s="2" t="str">
        <f t="shared" si="8"/>
        <v>Matched</v>
      </c>
      <c r="K165" s="2" t="str">
        <f t="shared" si="9"/>
        <v>Clean Record</v>
      </c>
    </row>
    <row r="166" spans="1:11" ht="16.8" x14ac:dyDescent="0.4">
      <c r="A166" s="2" t="str">
        <f>POS_Sales_Report!A166</f>
        <v>POS-1164</v>
      </c>
      <c r="B166" s="2" t="str">
        <f>POS_Sales_Report!B166</f>
        <v>REF-80164</v>
      </c>
      <c r="C166" s="2" t="str">
        <f>POS_Sales_Report!C166</f>
        <v>2026-08-11</v>
      </c>
      <c r="D166" s="2" t="str">
        <f>POS_Sales_Report!D166</f>
        <v>ToYou</v>
      </c>
      <c r="E166" s="3">
        <f>POS_Sales_Report!G166</f>
        <v>188.51</v>
      </c>
      <c r="F166" s="3">
        <f>IFERROR(INDEX(Delivery_Platform_Report!$E:$E,MATCH(B166,Delivery_Platform_Report!$A:$A,0)),0)</f>
        <v>188.51</v>
      </c>
      <c r="G166" s="3">
        <f>IFERROR(INDEX(Delivery_Platform_Report!$H:$H,MATCH(B166,Delivery_Platform_Report!$A:$A,0)),0)</f>
        <v>155.99</v>
      </c>
      <c r="H166" s="3">
        <f t="shared" si="10"/>
        <v>32.519999999999982</v>
      </c>
      <c r="I166" s="3">
        <f t="shared" si="11"/>
        <v>0</v>
      </c>
      <c r="J166" s="2" t="str">
        <f t="shared" si="8"/>
        <v>Matched</v>
      </c>
      <c r="K166" s="2" t="str">
        <f t="shared" si="9"/>
        <v>Clean Record</v>
      </c>
    </row>
    <row r="167" spans="1:11" ht="16.8" x14ac:dyDescent="0.4">
      <c r="A167" s="2" t="str">
        <f>POS_Sales_Report!A167</f>
        <v>POS-1165</v>
      </c>
      <c r="B167" s="2" t="str">
        <f>POS_Sales_Report!B167</f>
        <v>REF-80165</v>
      </c>
      <c r="C167" s="2" t="str">
        <f>POS_Sales_Report!C167</f>
        <v>2026-08-11</v>
      </c>
      <c r="D167" s="2" t="str">
        <f>POS_Sales_Report!D167</f>
        <v>Hungerstation</v>
      </c>
      <c r="E167" s="3">
        <f>POS_Sales_Report!G167</f>
        <v>101.45</v>
      </c>
      <c r="F167" s="3">
        <f>IFERROR(INDEX(Delivery_Platform_Report!$E:$E,MATCH(B167,Delivery_Platform_Report!$A:$A,0)),0)</f>
        <v>101.45</v>
      </c>
      <c r="G167" s="3">
        <f>IFERROR(INDEX(Delivery_Platform_Report!$H:$H,MATCH(B167,Delivery_Platform_Report!$A:$A,0)),0)</f>
        <v>78.12</v>
      </c>
      <c r="H167" s="3">
        <f t="shared" si="10"/>
        <v>23.33</v>
      </c>
      <c r="I167" s="3">
        <f t="shared" si="11"/>
        <v>0</v>
      </c>
      <c r="J167" s="2" t="str">
        <f t="shared" si="8"/>
        <v>Matched</v>
      </c>
      <c r="K167" s="2" t="str">
        <f t="shared" si="9"/>
        <v>Clean Record</v>
      </c>
    </row>
    <row r="168" spans="1:11" ht="16.8" x14ac:dyDescent="0.4">
      <c r="A168" s="2" t="str">
        <f>POS_Sales_Report!A168</f>
        <v>POS-1166</v>
      </c>
      <c r="B168" s="2" t="str">
        <f>POS_Sales_Report!B168</f>
        <v>REF-80166</v>
      </c>
      <c r="C168" s="2" t="str">
        <f>POS_Sales_Report!C168</f>
        <v>2026-08-11</v>
      </c>
      <c r="D168" s="2" t="str">
        <f>POS_Sales_Report!D168</f>
        <v>Ninja</v>
      </c>
      <c r="E168" s="3">
        <f>POS_Sales_Report!G168</f>
        <v>137.58000000000001</v>
      </c>
      <c r="F168" s="3">
        <f>IFERROR(INDEX(Delivery_Platform_Report!$E:$E,MATCH(B168,Delivery_Platform_Report!$A:$A,0)),0)</f>
        <v>137.58000000000001</v>
      </c>
      <c r="G168" s="3">
        <f>IFERROR(INDEX(Delivery_Platform_Report!$H:$H,MATCH(B168,Delivery_Platform_Report!$A:$A,0)),0)</f>
        <v>118.59</v>
      </c>
      <c r="H168" s="3">
        <f t="shared" si="10"/>
        <v>18.990000000000009</v>
      </c>
      <c r="I168" s="3">
        <f t="shared" si="11"/>
        <v>0</v>
      </c>
      <c r="J168" s="2" t="str">
        <f t="shared" si="8"/>
        <v>Matched</v>
      </c>
      <c r="K168" s="2" t="str">
        <f t="shared" si="9"/>
        <v>Clean Record</v>
      </c>
    </row>
    <row r="169" spans="1:11" ht="16.8" x14ac:dyDescent="0.4">
      <c r="A169" s="2" t="str">
        <f>POS_Sales_Report!A169</f>
        <v>POS-1167</v>
      </c>
      <c r="B169" s="2" t="str">
        <f>POS_Sales_Report!B169</f>
        <v>REF-80167</v>
      </c>
      <c r="C169" s="2" t="str">
        <f>POS_Sales_Report!C169</f>
        <v>2026-08-11</v>
      </c>
      <c r="D169" s="2" t="str">
        <f>POS_Sales_Report!D169</f>
        <v>ToYou</v>
      </c>
      <c r="E169" s="3">
        <f>POS_Sales_Report!G169</f>
        <v>158.81</v>
      </c>
      <c r="F169" s="3">
        <f>IFERROR(INDEX(Delivery_Platform_Report!$E:$E,MATCH(B169,Delivery_Platform_Report!$A:$A,0)),0)</f>
        <v>158.81</v>
      </c>
      <c r="G169" s="3">
        <f>IFERROR(INDEX(Delivery_Platform_Report!$H:$H,MATCH(B169,Delivery_Platform_Report!$A:$A,0)),0)</f>
        <v>131.41999999999999</v>
      </c>
      <c r="H169" s="3">
        <f t="shared" si="10"/>
        <v>27.390000000000015</v>
      </c>
      <c r="I169" s="3">
        <f t="shared" si="11"/>
        <v>0</v>
      </c>
      <c r="J169" s="2" t="str">
        <f t="shared" si="8"/>
        <v>Matched</v>
      </c>
      <c r="K169" s="2" t="str">
        <f t="shared" si="9"/>
        <v>Clean Record</v>
      </c>
    </row>
    <row r="170" spans="1:11" ht="16.8" x14ac:dyDescent="0.4">
      <c r="A170" s="2" t="str">
        <f>POS_Sales_Report!A170</f>
        <v>POS-1168</v>
      </c>
      <c r="B170" s="2" t="str">
        <f>POS_Sales_Report!B170</f>
        <v>REF-80168</v>
      </c>
      <c r="C170" s="2" t="str">
        <f>POS_Sales_Report!C170</f>
        <v>2026-08-11</v>
      </c>
      <c r="D170" s="2" t="str">
        <f>POS_Sales_Report!D170</f>
        <v>Jahez</v>
      </c>
      <c r="E170" s="3">
        <f>POS_Sales_Report!G170</f>
        <v>50.09</v>
      </c>
      <c r="F170" s="3">
        <f>IFERROR(INDEX(Delivery_Platform_Report!$E:$E,MATCH(B170,Delivery_Platform_Report!$A:$A,0)),0)</f>
        <v>50.09</v>
      </c>
      <c r="G170" s="3">
        <f>IFERROR(INDEX(Delivery_Platform_Report!$H:$H,MATCH(B170,Delivery_Platform_Report!$A:$A,0)),0)</f>
        <v>39.72</v>
      </c>
      <c r="H170" s="3">
        <f t="shared" si="10"/>
        <v>10.370000000000005</v>
      </c>
      <c r="I170" s="3">
        <f t="shared" si="11"/>
        <v>0</v>
      </c>
      <c r="J170" s="2" t="str">
        <f t="shared" si="8"/>
        <v>Matched</v>
      </c>
      <c r="K170" s="2" t="str">
        <f t="shared" si="9"/>
        <v>Clean Record</v>
      </c>
    </row>
    <row r="171" spans="1:11" ht="16.8" x14ac:dyDescent="0.4">
      <c r="A171" s="2" t="str">
        <f>POS_Sales_Report!A171</f>
        <v>POS-1169</v>
      </c>
      <c r="B171" s="2" t="str">
        <f>POS_Sales_Report!B171</f>
        <v>REF-80169</v>
      </c>
      <c r="C171" s="2" t="str">
        <f>POS_Sales_Report!C171</f>
        <v>2026-08-11</v>
      </c>
      <c r="D171" s="2" t="str">
        <f>POS_Sales_Report!D171</f>
        <v>Ninja</v>
      </c>
      <c r="E171" s="3">
        <f>POS_Sales_Report!G171</f>
        <v>239.32</v>
      </c>
      <c r="F171" s="3">
        <f>IFERROR(INDEX(Delivery_Platform_Report!$E:$E,MATCH(B171,Delivery_Platform_Report!$A:$A,0)),0)</f>
        <v>239.32</v>
      </c>
      <c r="G171" s="3">
        <f>IFERROR(INDEX(Delivery_Platform_Report!$H:$H,MATCH(B171,Delivery_Platform_Report!$A:$A,0)),0)</f>
        <v>206.29</v>
      </c>
      <c r="H171" s="3">
        <f t="shared" si="10"/>
        <v>33.03</v>
      </c>
      <c r="I171" s="3">
        <f t="shared" si="11"/>
        <v>0</v>
      </c>
      <c r="J171" s="2" t="str">
        <f t="shared" si="8"/>
        <v>Matched</v>
      </c>
      <c r="K171" s="2" t="str">
        <f t="shared" si="9"/>
        <v>Clean Record</v>
      </c>
    </row>
    <row r="172" spans="1:11" ht="16.8" x14ac:dyDescent="0.4">
      <c r="A172" s="2" t="str">
        <f>POS_Sales_Report!A172</f>
        <v>POS-1170</v>
      </c>
      <c r="B172" s="2" t="str">
        <f>POS_Sales_Report!B172</f>
        <v>REF-80170</v>
      </c>
      <c r="C172" s="2" t="str">
        <f>POS_Sales_Report!C172</f>
        <v>2026-08-11</v>
      </c>
      <c r="D172" s="2" t="str">
        <f>POS_Sales_Report!D172</f>
        <v>Jahez</v>
      </c>
      <c r="E172" s="3">
        <f>POS_Sales_Report!G172</f>
        <v>226.2</v>
      </c>
      <c r="F172" s="3">
        <f>IFERROR(INDEX(Delivery_Platform_Report!$E:$E,MATCH(B172,Delivery_Platform_Report!$A:$A,0)),0)</f>
        <v>226.2</v>
      </c>
      <c r="G172" s="3">
        <f>IFERROR(INDEX(Delivery_Platform_Report!$H:$H,MATCH(B172,Delivery_Platform_Report!$A:$A,0)),0)</f>
        <v>179.37</v>
      </c>
      <c r="H172" s="3">
        <f t="shared" si="10"/>
        <v>46.829999999999984</v>
      </c>
      <c r="I172" s="3">
        <f t="shared" si="11"/>
        <v>0</v>
      </c>
      <c r="J172" s="2" t="str">
        <f t="shared" si="8"/>
        <v>Matched</v>
      </c>
      <c r="K172" s="2" t="str">
        <f t="shared" si="9"/>
        <v>Clean Record</v>
      </c>
    </row>
    <row r="173" spans="1:11" ht="16.8" x14ac:dyDescent="0.4">
      <c r="A173" s="2" t="str">
        <f>POS_Sales_Report!A173</f>
        <v>POS-1171</v>
      </c>
      <c r="B173" s="2" t="str">
        <f>POS_Sales_Report!B173</f>
        <v>REF-80171</v>
      </c>
      <c r="C173" s="2" t="str">
        <f>POS_Sales_Report!C173</f>
        <v>2026-08-11</v>
      </c>
      <c r="D173" s="2" t="str">
        <f>POS_Sales_Report!D173</f>
        <v>Jahez</v>
      </c>
      <c r="E173" s="3">
        <f>POS_Sales_Report!G173</f>
        <v>94.79</v>
      </c>
      <c r="F173" s="3">
        <f>IFERROR(INDEX(Delivery_Platform_Report!$E:$E,MATCH(B173,Delivery_Platform_Report!$A:$A,0)),0)</f>
        <v>94.79</v>
      </c>
      <c r="G173" s="3">
        <f>IFERROR(INDEX(Delivery_Platform_Report!$H:$H,MATCH(B173,Delivery_Platform_Report!$A:$A,0)),0)</f>
        <v>75.17</v>
      </c>
      <c r="H173" s="3">
        <f t="shared" si="10"/>
        <v>19.620000000000005</v>
      </c>
      <c r="I173" s="3">
        <f t="shared" si="11"/>
        <v>0</v>
      </c>
      <c r="J173" s="2" t="str">
        <f t="shared" si="8"/>
        <v>Matched</v>
      </c>
      <c r="K173" s="2" t="str">
        <f t="shared" si="9"/>
        <v>Clean Record</v>
      </c>
    </row>
    <row r="174" spans="1:11" ht="16.8" x14ac:dyDescent="0.4">
      <c r="A174" s="2" t="str">
        <f>POS_Sales_Report!A174</f>
        <v>POS-1172</v>
      </c>
      <c r="B174" s="2" t="str">
        <f>POS_Sales_Report!B174</f>
        <v>REF-80172</v>
      </c>
      <c r="C174" s="2" t="str">
        <f>POS_Sales_Report!C174</f>
        <v>2026-08-11</v>
      </c>
      <c r="D174" s="2" t="str">
        <f>POS_Sales_Report!D174</f>
        <v>Hungerstation</v>
      </c>
      <c r="E174" s="3">
        <f>POS_Sales_Report!G174</f>
        <v>38.89</v>
      </c>
      <c r="F174" s="3">
        <f>IFERROR(INDEX(Delivery_Platform_Report!$E:$E,MATCH(B174,Delivery_Platform_Report!$A:$A,0)),0)</f>
        <v>38.89</v>
      </c>
      <c r="G174" s="3">
        <f>IFERROR(INDEX(Delivery_Platform_Report!$H:$H,MATCH(B174,Delivery_Platform_Report!$A:$A,0)),0)</f>
        <v>29.94</v>
      </c>
      <c r="H174" s="3">
        <f t="shared" si="10"/>
        <v>8.9499999999999993</v>
      </c>
      <c r="I174" s="3">
        <f t="shared" si="11"/>
        <v>0</v>
      </c>
      <c r="J174" s="2" t="str">
        <f t="shared" si="8"/>
        <v>Matched</v>
      </c>
      <c r="K174" s="2" t="str">
        <f t="shared" si="9"/>
        <v>Clean Record</v>
      </c>
    </row>
    <row r="175" spans="1:11" ht="16.8" x14ac:dyDescent="0.4">
      <c r="A175" s="2" t="str">
        <f>POS_Sales_Report!A175</f>
        <v>POS-1173</v>
      </c>
      <c r="B175" s="2" t="str">
        <f>POS_Sales_Report!B175</f>
        <v>REF-80173</v>
      </c>
      <c r="C175" s="2" t="str">
        <f>POS_Sales_Report!C175</f>
        <v>2026-08-12</v>
      </c>
      <c r="D175" s="2" t="str">
        <f>POS_Sales_Report!D175</f>
        <v>Ninja</v>
      </c>
      <c r="E175" s="3">
        <f>POS_Sales_Report!G175</f>
        <v>236.02</v>
      </c>
      <c r="F175" s="3">
        <f>IFERROR(INDEX(Delivery_Platform_Report!$E:$E,MATCH(B175,Delivery_Platform_Report!$A:$A,0)),0)</f>
        <v>236.02</v>
      </c>
      <c r="G175" s="3">
        <f>IFERROR(INDEX(Delivery_Platform_Report!$H:$H,MATCH(B175,Delivery_Platform_Report!$A:$A,0)),0)</f>
        <v>203.45</v>
      </c>
      <c r="H175" s="3">
        <f t="shared" si="10"/>
        <v>32.570000000000022</v>
      </c>
      <c r="I175" s="3">
        <f t="shared" si="11"/>
        <v>0</v>
      </c>
      <c r="J175" s="2" t="str">
        <f t="shared" si="8"/>
        <v>Matched</v>
      </c>
      <c r="K175" s="2" t="str">
        <f t="shared" si="9"/>
        <v>Clean Record</v>
      </c>
    </row>
    <row r="176" spans="1:11" ht="16.8" x14ac:dyDescent="0.4">
      <c r="A176" s="2" t="str">
        <f>POS_Sales_Report!A176</f>
        <v>POS-1174</v>
      </c>
      <c r="B176" s="2" t="str">
        <f>POS_Sales_Report!B176</f>
        <v>REF-80174</v>
      </c>
      <c r="C176" s="2" t="str">
        <f>POS_Sales_Report!C176</f>
        <v>2026-08-12</v>
      </c>
      <c r="D176" s="2" t="str">
        <f>POS_Sales_Report!D176</f>
        <v>Ninja</v>
      </c>
      <c r="E176" s="3">
        <f>POS_Sales_Report!G176</f>
        <v>145.22</v>
      </c>
      <c r="F176" s="3">
        <f>IFERROR(INDEX(Delivery_Platform_Report!$E:$E,MATCH(B176,Delivery_Platform_Report!$A:$A,0)),0)</f>
        <v>145.22</v>
      </c>
      <c r="G176" s="3">
        <f>IFERROR(INDEX(Delivery_Platform_Report!$H:$H,MATCH(B176,Delivery_Platform_Report!$A:$A,0)),0)</f>
        <v>125.18</v>
      </c>
      <c r="H176" s="3">
        <f t="shared" si="10"/>
        <v>20.039999999999992</v>
      </c>
      <c r="I176" s="3">
        <f t="shared" si="11"/>
        <v>0</v>
      </c>
      <c r="J176" s="2" t="str">
        <f t="shared" si="8"/>
        <v>Matched</v>
      </c>
      <c r="K176" s="2" t="str">
        <f t="shared" si="9"/>
        <v>Clean Record</v>
      </c>
    </row>
    <row r="177" spans="1:11" ht="16.8" x14ac:dyDescent="0.4">
      <c r="A177" s="2" t="str">
        <f>POS_Sales_Report!A177</f>
        <v>POS-1175</v>
      </c>
      <c r="B177" s="2" t="str">
        <f>POS_Sales_Report!B177</f>
        <v>REF-80175</v>
      </c>
      <c r="C177" s="2" t="str">
        <f>POS_Sales_Report!C177</f>
        <v>2026-08-12</v>
      </c>
      <c r="D177" s="2" t="str">
        <f>POS_Sales_Report!D177</f>
        <v>Hungerstation</v>
      </c>
      <c r="E177" s="3">
        <f>POS_Sales_Report!G177</f>
        <v>137.94</v>
      </c>
      <c r="F177" s="3">
        <f>IFERROR(INDEX(Delivery_Platform_Report!$E:$E,MATCH(B177,Delivery_Platform_Report!$A:$A,0)),0)</f>
        <v>137.94</v>
      </c>
      <c r="G177" s="3">
        <f>IFERROR(INDEX(Delivery_Platform_Report!$H:$H,MATCH(B177,Delivery_Platform_Report!$A:$A,0)),0)</f>
        <v>106.21</v>
      </c>
      <c r="H177" s="3">
        <f t="shared" si="10"/>
        <v>31.730000000000004</v>
      </c>
      <c r="I177" s="3">
        <f t="shared" si="11"/>
        <v>0</v>
      </c>
      <c r="J177" s="2" t="str">
        <f t="shared" si="8"/>
        <v>Matched</v>
      </c>
      <c r="K177" s="2" t="str">
        <f t="shared" si="9"/>
        <v>Clean Record</v>
      </c>
    </row>
    <row r="178" spans="1:11" ht="16.8" x14ac:dyDescent="0.4">
      <c r="A178" s="2" t="str">
        <f>POS_Sales_Report!A178</f>
        <v>POS-1176</v>
      </c>
      <c r="B178" s="2" t="str">
        <f>POS_Sales_Report!B178</f>
        <v>REF-80176</v>
      </c>
      <c r="C178" s="2" t="str">
        <f>POS_Sales_Report!C178</f>
        <v>2026-08-12</v>
      </c>
      <c r="D178" s="2" t="str">
        <f>POS_Sales_Report!D178</f>
        <v>ToYou</v>
      </c>
      <c r="E178" s="3">
        <f>POS_Sales_Report!G178</f>
        <v>183.63</v>
      </c>
      <c r="F178" s="3">
        <f>IFERROR(INDEX(Delivery_Platform_Report!$E:$E,MATCH(B178,Delivery_Platform_Report!$A:$A,0)),0)</f>
        <v>183.63</v>
      </c>
      <c r="G178" s="3">
        <f>IFERROR(INDEX(Delivery_Platform_Report!$H:$H,MATCH(B178,Delivery_Platform_Report!$A:$A,0)),0)</f>
        <v>151.96</v>
      </c>
      <c r="H178" s="3">
        <f t="shared" si="10"/>
        <v>31.669999999999987</v>
      </c>
      <c r="I178" s="3">
        <f t="shared" si="11"/>
        <v>0</v>
      </c>
      <c r="J178" s="2" t="str">
        <f t="shared" si="8"/>
        <v>Matched</v>
      </c>
      <c r="K178" s="2" t="str">
        <f t="shared" si="9"/>
        <v>Clean Record</v>
      </c>
    </row>
    <row r="179" spans="1:11" ht="16.8" x14ac:dyDescent="0.4">
      <c r="A179" s="2" t="str">
        <f>POS_Sales_Report!A179</f>
        <v>POS-1177</v>
      </c>
      <c r="B179" s="2" t="str">
        <f>POS_Sales_Report!B179</f>
        <v>REF-80177</v>
      </c>
      <c r="C179" s="2" t="str">
        <f>POS_Sales_Report!C179</f>
        <v>2026-08-12</v>
      </c>
      <c r="D179" s="2" t="str">
        <f>POS_Sales_Report!D179</f>
        <v>Jahez</v>
      </c>
      <c r="E179" s="3">
        <f>POS_Sales_Report!G179</f>
        <v>169.33</v>
      </c>
      <c r="F179" s="3">
        <f>IFERROR(INDEX(Delivery_Platform_Report!$E:$E,MATCH(B179,Delivery_Platform_Report!$A:$A,0)),0)</f>
        <v>169.33</v>
      </c>
      <c r="G179" s="3">
        <f>IFERROR(INDEX(Delivery_Platform_Report!$H:$H,MATCH(B179,Delivery_Platform_Report!$A:$A,0)),0)</f>
        <v>134.28</v>
      </c>
      <c r="H179" s="3">
        <f t="shared" si="10"/>
        <v>35.050000000000011</v>
      </c>
      <c r="I179" s="3">
        <f t="shared" si="11"/>
        <v>0</v>
      </c>
      <c r="J179" s="2" t="str">
        <f t="shared" si="8"/>
        <v>Matched</v>
      </c>
      <c r="K179" s="2" t="str">
        <f t="shared" si="9"/>
        <v>Clean Record</v>
      </c>
    </row>
    <row r="180" spans="1:11" ht="16.8" x14ac:dyDescent="0.4">
      <c r="A180" s="2" t="str">
        <f>POS_Sales_Report!A180</f>
        <v>POS-1178</v>
      </c>
      <c r="B180" s="2" t="str">
        <f>POS_Sales_Report!B180</f>
        <v>REF-80178</v>
      </c>
      <c r="C180" s="2" t="str">
        <f>POS_Sales_Report!C180</f>
        <v>2026-08-12</v>
      </c>
      <c r="D180" s="2" t="str">
        <f>POS_Sales_Report!D180</f>
        <v>Chefz</v>
      </c>
      <c r="E180" s="3">
        <f>POS_Sales_Report!G180</f>
        <v>238.22</v>
      </c>
      <c r="F180" s="3">
        <f>IFERROR(INDEX(Delivery_Platform_Report!$E:$E,MATCH(B180,Delivery_Platform_Report!$A:$A,0)),0)</f>
        <v>238.22</v>
      </c>
      <c r="G180" s="3">
        <f>IFERROR(INDEX(Delivery_Platform_Report!$H:$H,MATCH(B180,Delivery_Platform_Report!$A:$A,0)),0)</f>
        <v>177.95</v>
      </c>
      <c r="H180" s="3">
        <f t="shared" si="10"/>
        <v>60.27000000000001</v>
      </c>
      <c r="I180" s="3">
        <f t="shared" si="11"/>
        <v>0</v>
      </c>
      <c r="J180" s="2" t="str">
        <f t="shared" si="8"/>
        <v>Matched</v>
      </c>
      <c r="K180" s="2" t="str">
        <f t="shared" si="9"/>
        <v>Clean Record</v>
      </c>
    </row>
    <row r="181" spans="1:11" ht="16.8" x14ac:dyDescent="0.4">
      <c r="A181" s="2" t="str">
        <f>POS_Sales_Report!A181</f>
        <v>POS-1179</v>
      </c>
      <c r="B181" s="2" t="str">
        <f>POS_Sales_Report!B181</f>
        <v>REF-80179</v>
      </c>
      <c r="C181" s="2" t="str">
        <f>POS_Sales_Report!C181</f>
        <v>2026-08-12</v>
      </c>
      <c r="D181" s="2" t="str">
        <f>POS_Sales_Report!D181</f>
        <v>Jahez</v>
      </c>
      <c r="E181" s="3">
        <f>POS_Sales_Report!G181</f>
        <v>214.46</v>
      </c>
      <c r="F181" s="3">
        <f>IFERROR(INDEX(Delivery_Platform_Report!$E:$E,MATCH(B181,Delivery_Platform_Report!$A:$A,0)),0)</f>
        <v>214.46</v>
      </c>
      <c r="G181" s="3">
        <f>IFERROR(INDEX(Delivery_Platform_Report!$H:$H,MATCH(B181,Delivery_Platform_Report!$A:$A,0)),0)</f>
        <v>170.07</v>
      </c>
      <c r="H181" s="3">
        <f t="shared" si="10"/>
        <v>44.390000000000015</v>
      </c>
      <c r="I181" s="3">
        <f t="shared" si="11"/>
        <v>0</v>
      </c>
      <c r="J181" s="2" t="str">
        <f t="shared" si="8"/>
        <v>Matched</v>
      </c>
      <c r="K181" s="2" t="str">
        <f t="shared" si="9"/>
        <v>Clean Record</v>
      </c>
    </row>
    <row r="182" spans="1:11" ht="16.8" x14ac:dyDescent="0.4">
      <c r="A182" s="2" t="str">
        <f>POS_Sales_Report!A182</f>
        <v>POS-1180</v>
      </c>
      <c r="B182" s="2" t="str">
        <f>POS_Sales_Report!B182</f>
        <v>REF-80180</v>
      </c>
      <c r="C182" s="2" t="str">
        <f>POS_Sales_Report!C182</f>
        <v>2026-08-12</v>
      </c>
      <c r="D182" s="2" t="str">
        <f>POS_Sales_Report!D182</f>
        <v>Jahez</v>
      </c>
      <c r="E182" s="3">
        <f>POS_Sales_Report!G182</f>
        <v>222.11</v>
      </c>
      <c r="F182" s="3">
        <f>IFERROR(INDEX(Delivery_Platform_Report!$E:$E,MATCH(B182,Delivery_Platform_Report!$A:$A,0)),0)</f>
        <v>222.11</v>
      </c>
      <c r="G182" s="3">
        <f>IFERROR(INDEX(Delivery_Platform_Report!$H:$H,MATCH(B182,Delivery_Platform_Report!$A:$A,0)),0)</f>
        <v>176.13</v>
      </c>
      <c r="H182" s="3">
        <f t="shared" si="10"/>
        <v>45.980000000000018</v>
      </c>
      <c r="I182" s="3">
        <f t="shared" si="11"/>
        <v>0</v>
      </c>
      <c r="J182" s="2" t="str">
        <f t="shared" si="8"/>
        <v>Matched</v>
      </c>
      <c r="K182" s="2" t="str">
        <f t="shared" si="9"/>
        <v>Clean Record</v>
      </c>
    </row>
    <row r="183" spans="1:11" ht="16.8" x14ac:dyDescent="0.4">
      <c r="A183" s="2" t="str">
        <f>POS_Sales_Report!A183</f>
        <v>POS-1181</v>
      </c>
      <c r="B183" s="2" t="str">
        <f>POS_Sales_Report!B183</f>
        <v>REF-80181</v>
      </c>
      <c r="C183" s="2" t="str">
        <f>POS_Sales_Report!C183</f>
        <v>2026-08-12</v>
      </c>
      <c r="D183" s="2" t="str">
        <f>POS_Sales_Report!D183</f>
        <v>ToYou</v>
      </c>
      <c r="E183" s="3">
        <f>POS_Sales_Report!G183</f>
        <v>156.28</v>
      </c>
      <c r="F183" s="3">
        <f>IFERROR(INDEX(Delivery_Platform_Report!$E:$E,MATCH(B183,Delivery_Platform_Report!$A:$A,0)),0)</f>
        <v>156.28</v>
      </c>
      <c r="G183" s="3">
        <f>IFERROR(INDEX(Delivery_Platform_Report!$H:$H,MATCH(B183,Delivery_Platform_Report!$A:$A,0)),0)</f>
        <v>129.32</v>
      </c>
      <c r="H183" s="3">
        <f t="shared" si="10"/>
        <v>26.960000000000008</v>
      </c>
      <c r="I183" s="3">
        <f t="shared" si="11"/>
        <v>0</v>
      </c>
      <c r="J183" s="2" t="str">
        <f t="shared" si="8"/>
        <v>Matched</v>
      </c>
      <c r="K183" s="2" t="str">
        <f t="shared" si="9"/>
        <v>Clean Record</v>
      </c>
    </row>
    <row r="184" spans="1:11" ht="16.8" x14ac:dyDescent="0.4">
      <c r="A184" s="2" t="str">
        <f>POS_Sales_Report!A184</f>
        <v>POS-1182</v>
      </c>
      <c r="B184" s="2" t="str">
        <f>POS_Sales_Report!B184</f>
        <v>REF-80182</v>
      </c>
      <c r="C184" s="2" t="str">
        <f>POS_Sales_Report!C184</f>
        <v>2026-08-12</v>
      </c>
      <c r="D184" s="2" t="str">
        <f>POS_Sales_Report!D184</f>
        <v>Jahez</v>
      </c>
      <c r="E184" s="3">
        <f>POS_Sales_Report!G184</f>
        <v>187.38</v>
      </c>
      <c r="F184" s="3">
        <f>IFERROR(INDEX(Delivery_Platform_Report!$E:$E,MATCH(B184,Delivery_Platform_Report!$A:$A,0)),0)</f>
        <v>187.38</v>
      </c>
      <c r="G184" s="3">
        <f>IFERROR(INDEX(Delivery_Platform_Report!$H:$H,MATCH(B184,Delivery_Platform_Report!$A:$A,0)),0)</f>
        <v>148.59</v>
      </c>
      <c r="H184" s="3">
        <f t="shared" si="10"/>
        <v>38.789999999999992</v>
      </c>
      <c r="I184" s="3">
        <f t="shared" si="11"/>
        <v>0</v>
      </c>
      <c r="J184" s="2" t="str">
        <f t="shared" si="8"/>
        <v>Matched</v>
      </c>
      <c r="K184" s="2" t="str">
        <f t="shared" si="9"/>
        <v>Clean Record</v>
      </c>
    </row>
    <row r="185" spans="1:11" ht="16.8" x14ac:dyDescent="0.4">
      <c r="A185" s="2" t="str">
        <f>POS_Sales_Report!A185</f>
        <v>POS-1183</v>
      </c>
      <c r="B185" s="2" t="str">
        <f>POS_Sales_Report!B185</f>
        <v>REF-80183</v>
      </c>
      <c r="C185" s="2" t="str">
        <f>POS_Sales_Report!C185</f>
        <v>2026-08-12</v>
      </c>
      <c r="D185" s="2" t="str">
        <f>POS_Sales_Report!D185</f>
        <v>Hungerstation</v>
      </c>
      <c r="E185" s="3">
        <f>POS_Sales_Report!G185</f>
        <v>182.21</v>
      </c>
      <c r="F185" s="3">
        <f>IFERROR(INDEX(Delivery_Platform_Report!$E:$E,MATCH(B185,Delivery_Platform_Report!$A:$A,0)),0)</f>
        <v>182.21</v>
      </c>
      <c r="G185" s="3">
        <f>IFERROR(INDEX(Delivery_Platform_Report!$H:$H,MATCH(B185,Delivery_Platform_Report!$A:$A,0)),0)</f>
        <v>140.30000000000001</v>
      </c>
      <c r="H185" s="3">
        <f t="shared" si="10"/>
        <v>41.91</v>
      </c>
      <c r="I185" s="3">
        <f t="shared" si="11"/>
        <v>0</v>
      </c>
      <c r="J185" s="2" t="str">
        <f t="shared" si="8"/>
        <v>Matched</v>
      </c>
      <c r="K185" s="2" t="str">
        <f t="shared" si="9"/>
        <v>Clean Record</v>
      </c>
    </row>
    <row r="186" spans="1:11" ht="16.8" x14ac:dyDescent="0.4">
      <c r="A186" s="2" t="str">
        <f>POS_Sales_Report!A186</f>
        <v>POS-1184</v>
      </c>
      <c r="B186" s="2" t="str">
        <f>POS_Sales_Report!B186</f>
        <v>REF-80184</v>
      </c>
      <c r="C186" s="2" t="str">
        <f>POS_Sales_Report!C186</f>
        <v>2026-08-12</v>
      </c>
      <c r="D186" s="2" t="str">
        <f>POS_Sales_Report!D186</f>
        <v>Hungerstation</v>
      </c>
      <c r="E186" s="3">
        <f>POS_Sales_Report!G186</f>
        <v>160.41</v>
      </c>
      <c r="F186" s="3">
        <f>IFERROR(INDEX(Delivery_Platform_Report!$E:$E,MATCH(B186,Delivery_Platform_Report!$A:$A,0)),0)</f>
        <v>160.41</v>
      </c>
      <c r="G186" s="3">
        <f>IFERROR(INDEX(Delivery_Platform_Report!$H:$H,MATCH(B186,Delivery_Platform_Report!$A:$A,0)),0)</f>
        <v>123.52</v>
      </c>
      <c r="H186" s="3">
        <f t="shared" si="10"/>
        <v>36.89</v>
      </c>
      <c r="I186" s="3">
        <f t="shared" si="11"/>
        <v>0</v>
      </c>
      <c r="J186" s="2" t="str">
        <f t="shared" si="8"/>
        <v>Matched</v>
      </c>
      <c r="K186" s="2" t="str">
        <f t="shared" si="9"/>
        <v>Clean Record</v>
      </c>
    </row>
    <row r="187" spans="1:11" ht="16.8" x14ac:dyDescent="0.4">
      <c r="A187" s="2" t="str">
        <f>POS_Sales_Report!A187</f>
        <v>POS-1185</v>
      </c>
      <c r="B187" s="2" t="str">
        <f>POS_Sales_Report!B187</f>
        <v>REF-80185</v>
      </c>
      <c r="C187" s="2" t="str">
        <f>POS_Sales_Report!C187</f>
        <v>2026-08-12</v>
      </c>
      <c r="D187" s="2" t="str">
        <f>POS_Sales_Report!D187</f>
        <v>Ninja</v>
      </c>
      <c r="E187" s="3">
        <f>POS_Sales_Report!G187</f>
        <v>66.989999999999995</v>
      </c>
      <c r="F187" s="3">
        <f>IFERROR(INDEX(Delivery_Platform_Report!$E:$E,MATCH(B187,Delivery_Platform_Report!$A:$A,0)),0)</f>
        <v>66.989999999999995</v>
      </c>
      <c r="G187" s="3">
        <f>IFERROR(INDEX(Delivery_Platform_Report!$H:$H,MATCH(B187,Delivery_Platform_Report!$A:$A,0)),0)</f>
        <v>57.74</v>
      </c>
      <c r="H187" s="3">
        <f t="shared" si="10"/>
        <v>9.2499999999999929</v>
      </c>
      <c r="I187" s="3">
        <f t="shared" si="11"/>
        <v>0</v>
      </c>
      <c r="J187" s="2" t="str">
        <f t="shared" si="8"/>
        <v>Matched</v>
      </c>
      <c r="K187" s="2" t="str">
        <f t="shared" si="9"/>
        <v>Clean Record</v>
      </c>
    </row>
    <row r="188" spans="1:11" ht="16.8" x14ac:dyDescent="0.4">
      <c r="A188" s="2" t="str">
        <f>POS_Sales_Report!A188</f>
        <v>POS-1186</v>
      </c>
      <c r="B188" s="2" t="str">
        <f>POS_Sales_Report!B188</f>
        <v>REF-80186</v>
      </c>
      <c r="C188" s="2" t="str">
        <f>POS_Sales_Report!C188</f>
        <v>2026-08-12</v>
      </c>
      <c r="D188" s="2" t="str">
        <f>POS_Sales_Report!D188</f>
        <v>Chefz</v>
      </c>
      <c r="E188" s="3">
        <f>POS_Sales_Report!G188</f>
        <v>210.35</v>
      </c>
      <c r="F188" s="3">
        <f>IFERROR(INDEX(Delivery_Platform_Report!$E:$E,MATCH(B188,Delivery_Platform_Report!$A:$A,0)),0)</f>
        <v>210.35</v>
      </c>
      <c r="G188" s="3">
        <f>IFERROR(INDEX(Delivery_Platform_Report!$H:$H,MATCH(B188,Delivery_Platform_Report!$A:$A,0)),0)</f>
        <v>157.13</v>
      </c>
      <c r="H188" s="3">
        <f t="shared" si="10"/>
        <v>53.22</v>
      </c>
      <c r="I188" s="3">
        <f t="shared" si="11"/>
        <v>0</v>
      </c>
      <c r="J188" s="2" t="str">
        <f t="shared" si="8"/>
        <v>Matched</v>
      </c>
      <c r="K188" s="2" t="str">
        <f t="shared" si="9"/>
        <v>Clean Record</v>
      </c>
    </row>
    <row r="189" spans="1:11" ht="16.8" x14ac:dyDescent="0.4">
      <c r="A189" s="2" t="str">
        <f>POS_Sales_Report!A189</f>
        <v>POS-1187</v>
      </c>
      <c r="B189" s="2" t="str">
        <f>POS_Sales_Report!B189</f>
        <v>REF-80187</v>
      </c>
      <c r="C189" s="2" t="str">
        <f>POS_Sales_Report!C189</f>
        <v>2026-08-12</v>
      </c>
      <c r="D189" s="2" t="str">
        <f>POS_Sales_Report!D189</f>
        <v>Jahez</v>
      </c>
      <c r="E189" s="3">
        <f>POS_Sales_Report!G189</f>
        <v>212.33</v>
      </c>
      <c r="F189" s="3">
        <f>IFERROR(INDEX(Delivery_Platform_Report!$E:$E,MATCH(B189,Delivery_Platform_Report!$A:$A,0)),0)</f>
        <v>212.33</v>
      </c>
      <c r="G189" s="3">
        <f>IFERROR(INDEX(Delivery_Platform_Report!$H:$H,MATCH(B189,Delivery_Platform_Report!$A:$A,0)),0)</f>
        <v>168.38</v>
      </c>
      <c r="H189" s="3">
        <f t="shared" si="10"/>
        <v>43.950000000000017</v>
      </c>
      <c r="I189" s="3">
        <f t="shared" si="11"/>
        <v>0</v>
      </c>
      <c r="J189" s="2" t="str">
        <f t="shared" si="8"/>
        <v>Matched</v>
      </c>
      <c r="K189" s="2" t="str">
        <f t="shared" si="9"/>
        <v>Clean Record</v>
      </c>
    </row>
    <row r="190" spans="1:11" ht="16.8" x14ac:dyDescent="0.4">
      <c r="A190" s="2" t="str">
        <f>POS_Sales_Report!A190</f>
        <v>POS-1188</v>
      </c>
      <c r="B190" s="2" t="str">
        <f>POS_Sales_Report!B190</f>
        <v>REF-80188</v>
      </c>
      <c r="C190" s="2" t="str">
        <f>POS_Sales_Report!C190</f>
        <v>2026-08-13</v>
      </c>
      <c r="D190" s="2" t="str">
        <f>POS_Sales_Report!D190</f>
        <v>Jahez</v>
      </c>
      <c r="E190" s="3">
        <f>POS_Sales_Report!G190</f>
        <v>171.45</v>
      </c>
      <c r="F190" s="3">
        <f>IFERROR(INDEX(Delivery_Platform_Report!$E:$E,MATCH(B190,Delivery_Platform_Report!$A:$A,0)),0)</f>
        <v>171.45</v>
      </c>
      <c r="G190" s="3">
        <f>IFERROR(INDEX(Delivery_Platform_Report!$H:$H,MATCH(B190,Delivery_Platform_Report!$A:$A,0)),0)</f>
        <v>135.96</v>
      </c>
      <c r="H190" s="3">
        <f t="shared" si="10"/>
        <v>35.489999999999981</v>
      </c>
      <c r="I190" s="3">
        <f t="shared" si="11"/>
        <v>0</v>
      </c>
      <c r="J190" s="2" t="str">
        <f t="shared" si="8"/>
        <v>Matched</v>
      </c>
      <c r="K190" s="2" t="str">
        <f t="shared" si="9"/>
        <v>Clean Record</v>
      </c>
    </row>
    <row r="191" spans="1:11" ht="16.8" x14ac:dyDescent="0.4">
      <c r="A191" s="2" t="str">
        <f>POS_Sales_Report!A191</f>
        <v>POS-1189</v>
      </c>
      <c r="B191" s="2" t="str">
        <f>POS_Sales_Report!B191</f>
        <v>REF-80189</v>
      </c>
      <c r="C191" s="2" t="str">
        <f>POS_Sales_Report!C191</f>
        <v>2026-08-13</v>
      </c>
      <c r="D191" s="2" t="str">
        <f>POS_Sales_Report!D191</f>
        <v>ToYou</v>
      </c>
      <c r="E191" s="3">
        <f>POS_Sales_Report!G191</f>
        <v>212.29</v>
      </c>
      <c r="F191" s="3">
        <f>IFERROR(INDEX(Delivery_Platform_Report!$E:$E,MATCH(B191,Delivery_Platform_Report!$A:$A,0)),0)</f>
        <v>212.29</v>
      </c>
      <c r="G191" s="3">
        <f>IFERROR(INDEX(Delivery_Platform_Report!$H:$H,MATCH(B191,Delivery_Platform_Report!$A:$A,0)),0)</f>
        <v>175.67</v>
      </c>
      <c r="H191" s="3">
        <f t="shared" si="10"/>
        <v>36.620000000000005</v>
      </c>
      <c r="I191" s="3">
        <f t="shared" si="11"/>
        <v>0</v>
      </c>
      <c r="J191" s="2" t="str">
        <f t="shared" si="8"/>
        <v>Matched</v>
      </c>
      <c r="K191" s="2" t="str">
        <f t="shared" si="9"/>
        <v>Clean Record</v>
      </c>
    </row>
    <row r="192" spans="1:11" ht="16.8" x14ac:dyDescent="0.4">
      <c r="A192" s="2" t="str">
        <f>POS_Sales_Report!A192</f>
        <v>POS-1190</v>
      </c>
      <c r="B192" s="2" t="str">
        <f>POS_Sales_Report!B192</f>
        <v>REF-80190</v>
      </c>
      <c r="C192" s="2" t="str">
        <f>POS_Sales_Report!C192</f>
        <v>2026-08-13</v>
      </c>
      <c r="D192" s="2" t="str">
        <f>POS_Sales_Report!D192</f>
        <v>Hungerstation</v>
      </c>
      <c r="E192" s="3">
        <f>POS_Sales_Report!G192</f>
        <v>176.81</v>
      </c>
      <c r="F192" s="3">
        <f>IFERROR(INDEX(Delivery_Platform_Report!$E:$E,MATCH(B192,Delivery_Platform_Report!$A:$A,0)),0)</f>
        <v>176.81</v>
      </c>
      <c r="G192" s="3">
        <f>IFERROR(INDEX(Delivery_Platform_Report!$H:$H,MATCH(B192,Delivery_Platform_Report!$A:$A,0)),0)</f>
        <v>136.15</v>
      </c>
      <c r="H192" s="3">
        <f t="shared" si="10"/>
        <v>40.659999999999997</v>
      </c>
      <c r="I192" s="3">
        <f t="shared" si="11"/>
        <v>0</v>
      </c>
      <c r="J192" s="2" t="str">
        <f t="shared" si="8"/>
        <v>Matched</v>
      </c>
      <c r="K192" s="2" t="str">
        <f t="shared" si="9"/>
        <v>Clean Record</v>
      </c>
    </row>
    <row r="193" spans="1:11" ht="16.8" x14ac:dyDescent="0.4">
      <c r="A193" s="2" t="str">
        <f>POS_Sales_Report!A193</f>
        <v>POS-1191</v>
      </c>
      <c r="B193" s="2" t="str">
        <f>POS_Sales_Report!B193</f>
        <v>REF-80191</v>
      </c>
      <c r="C193" s="2" t="str">
        <f>POS_Sales_Report!C193</f>
        <v>2026-08-13</v>
      </c>
      <c r="D193" s="2" t="str">
        <f>POS_Sales_Report!D193</f>
        <v>Chefz</v>
      </c>
      <c r="E193" s="3">
        <f>POS_Sales_Report!G193</f>
        <v>83.4</v>
      </c>
      <c r="F193" s="3">
        <f>IFERROR(INDEX(Delivery_Platform_Report!$E:$E,MATCH(B193,Delivery_Platform_Report!$A:$A,0)),0)</f>
        <v>83.4</v>
      </c>
      <c r="G193" s="3">
        <f>IFERROR(INDEX(Delivery_Platform_Report!$H:$H,MATCH(B193,Delivery_Platform_Report!$A:$A,0)),0)</f>
        <v>62.3</v>
      </c>
      <c r="H193" s="3">
        <f t="shared" si="10"/>
        <v>21.100000000000009</v>
      </c>
      <c r="I193" s="3">
        <f t="shared" si="11"/>
        <v>0</v>
      </c>
      <c r="J193" s="2" t="str">
        <f t="shared" si="8"/>
        <v>Matched</v>
      </c>
      <c r="K193" s="2" t="str">
        <f t="shared" si="9"/>
        <v>Clean Record</v>
      </c>
    </row>
    <row r="194" spans="1:11" ht="16.8" x14ac:dyDescent="0.4">
      <c r="A194" s="2" t="str">
        <f>POS_Sales_Report!A194</f>
        <v>POS-1192</v>
      </c>
      <c r="B194" s="2" t="str">
        <f>POS_Sales_Report!B194</f>
        <v>REF-80192</v>
      </c>
      <c r="C194" s="2" t="str">
        <f>POS_Sales_Report!C194</f>
        <v>2026-08-13</v>
      </c>
      <c r="D194" s="2" t="str">
        <f>POS_Sales_Report!D194</f>
        <v>Ninja</v>
      </c>
      <c r="E194" s="3">
        <f>POS_Sales_Report!G194</f>
        <v>97.53</v>
      </c>
      <c r="F194" s="3">
        <f>IFERROR(INDEX(Delivery_Platform_Report!$E:$E,MATCH(B194,Delivery_Platform_Report!$A:$A,0)),0)</f>
        <v>97.53</v>
      </c>
      <c r="G194" s="3">
        <f>IFERROR(INDEX(Delivery_Platform_Report!$H:$H,MATCH(B194,Delivery_Platform_Report!$A:$A,0)),0)</f>
        <v>84.07</v>
      </c>
      <c r="H194" s="3">
        <f t="shared" si="10"/>
        <v>13.460000000000008</v>
      </c>
      <c r="I194" s="3">
        <f t="shared" si="11"/>
        <v>0</v>
      </c>
      <c r="J194" s="2" t="str">
        <f t="shared" ref="J194:J221" si="12">IF(F194=0, "Missing in Platform", IF(ABS(I194)&lt;0.01, "Matched", "Amount Mismatch"))</f>
        <v>Matched</v>
      </c>
      <c r="K194" s="2" t="str">
        <f t="shared" ref="K194:K221" si="13">IF(J194="Matched", "Clean Record", IF(J194="Missing in Platform", "Uncollected Payout - Order Not Found", "Payout Variance - Requires Settlement Audit"))</f>
        <v>Clean Record</v>
      </c>
    </row>
    <row r="195" spans="1:11" ht="16.8" x14ac:dyDescent="0.4">
      <c r="A195" s="2" t="str">
        <f>POS_Sales_Report!A195</f>
        <v>POS-1193</v>
      </c>
      <c r="B195" s="2" t="str">
        <f>POS_Sales_Report!B195</f>
        <v>REF-80193</v>
      </c>
      <c r="C195" s="2" t="str">
        <f>POS_Sales_Report!C195</f>
        <v>2026-08-13</v>
      </c>
      <c r="D195" s="2" t="str">
        <f>POS_Sales_Report!D195</f>
        <v>Hungerstation</v>
      </c>
      <c r="E195" s="3">
        <f>POS_Sales_Report!G195</f>
        <v>85.06</v>
      </c>
      <c r="F195" s="3">
        <f>IFERROR(INDEX(Delivery_Platform_Report!$E:$E,MATCH(B195,Delivery_Platform_Report!$A:$A,0)),0)</f>
        <v>85.06</v>
      </c>
      <c r="G195" s="3">
        <f>IFERROR(INDEX(Delivery_Platform_Report!$H:$H,MATCH(B195,Delivery_Platform_Report!$A:$A,0)),0)</f>
        <v>65.5</v>
      </c>
      <c r="H195" s="3">
        <f t="shared" ref="H195:H221" si="14">F195-G195</f>
        <v>19.560000000000002</v>
      </c>
      <c r="I195" s="3">
        <f t="shared" ref="I195:I221" si="15">E195-F195</f>
        <v>0</v>
      </c>
      <c r="J195" s="2" t="str">
        <f t="shared" si="12"/>
        <v>Matched</v>
      </c>
      <c r="K195" s="2" t="str">
        <f t="shared" si="13"/>
        <v>Clean Record</v>
      </c>
    </row>
    <row r="196" spans="1:11" ht="16.8" x14ac:dyDescent="0.4">
      <c r="A196" s="2" t="str">
        <f>POS_Sales_Report!A196</f>
        <v>POS-1194</v>
      </c>
      <c r="B196" s="2" t="str">
        <f>POS_Sales_Report!B196</f>
        <v>REF-80194</v>
      </c>
      <c r="C196" s="2" t="str">
        <f>POS_Sales_Report!C196</f>
        <v>2026-08-13</v>
      </c>
      <c r="D196" s="2" t="str">
        <f>POS_Sales_Report!D196</f>
        <v>Ninja</v>
      </c>
      <c r="E196" s="3">
        <f>POS_Sales_Report!G196</f>
        <v>119.22</v>
      </c>
      <c r="F196" s="3">
        <f>IFERROR(INDEX(Delivery_Platform_Report!$E:$E,MATCH(B196,Delivery_Platform_Report!$A:$A,0)),0)</f>
        <v>119.22</v>
      </c>
      <c r="G196" s="3">
        <f>IFERROR(INDEX(Delivery_Platform_Report!$H:$H,MATCH(B196,Delivery_Platform_Report!$A:$A,0)),0)</f>
        <v>102.76</v>
      </c>
      <c r="H196" s="3">
        <f t="shared" si="14"/>
        <v>16.459999999999994</v>
      </c>
      <c r="I196" s="3">
        <f t="shared" si="15"/>
        <v>0</v>
      </c>
      <c r="J196" s="2" t="str">
        <f t="shared" si="12"/>
        <v>Matched</v>
      </c>
      <c r="K196" s="2" t="str">
        <f t="shared" si="13"/>
        <v>Clean Record</v>
      </c>
    </row>
    <row r="197" spans="1:11" ht="16.8" x14ac:dyDescent="0.4">
      <c r="A197" s="2" t="str">
        <f>POS_Sales_Report!A197</f>
        <v>POS-1195</v>
      </c>
      <c r="B197" s="2" t="str">
        <f>POS_Sales_Report!B197</f>
        <v>REF-80195</v>
      </c>
      <c r="C197" s="2" t="str">
        <f>POS_Sales_Report!C197</f>
        <v>2026-08-13</v>
      </c>
      <c r="D197" s="2" t="str">
        <f>POS_Sales_Report!D197</f>
        <v>ToYou</v>
      </c>
      <c r="E197" s="3">
        <f>POS_Sales_Report!G197</f>
        <v>48.18</v>
      </c>
      <c r="F197" s="3">
        <f>IFERROR(INDEX(Delivery_Platform_Report!$E:$E,MATCH(B197,Delivery_Platform_Report!$A:$A,0)),0)</f>
        <v>48.18</v>
      </c>
      <c r="G197" s="3">
        <f>IFERROR(INDEX(Delivery_Platform_Report!$H:$H,MATCH(B197,Delivery_Platform_Report!$A:$A,0)),0)</f>
        <v>39.869999999999997</v>
      </c>
      <c r="H197" s="3">
        <f t="shared" si="14"/>
        <v>8.3100000000000023</v>
      </c>
      <c r="I197" s="3">
        <f t="shared" si="15"/>
        <v>0</v>
      </c>
      <c r="J197" s="2" t="str">
        <f t="shared" si="12"/>
        <v>Matched</v>
      </c>
      <c r="K197" s="2" t="str">
        <f t="shared" si="13"/>
        <v>Clean Record</v>
      </c>
    </row>
    <row r="198" spans="1:11" ht="16.8" x14ac:dyDescent="0.4">
      <c r="A198" s="2" t="str">
        <f>POS_Sales_Report!A198</f>
        <v>POS-1196</v>
      </c>
      <c r="B198" s="2" t="str">
        <f>POS_Sales_Report!B198</f>
        <v>REF-80196</v>
      </c>
      <c r="C198" s="2" t="str">
        <f>POS_Sales_Report!C198</f>
        <v>2026-08-13</v>
      </c>
      <c r="D198" s="2" t="str">
        <f>POS_Sales_Report!D198</f>
        <v>ToYou</v>
      </c>
      <c r="E198" s="3">
        <f>POS_Sales_Report!G198</f>
        <v>169.83</v>
      </c>
      <c r="F198" s="3">
        <f>IFERROR(INDEX(Delivery_Platform_Report!$E:$E,MATCH(B198,Delivery_Platform_Report!$A:$A,0)),0)</f>
        <v>169.83</v>
      </c>
      <c r="G198" s="3">
        <f>IFERROR(INDEX(Delivery_Platform_Report!$H:$H,MATCH(B198,Delivery_Platform_Report!$A:$A,0)),0)</f>
        <v>140.54</v>
      </c>
      <c r="H198" s="3">
        <f t="shared" si="14"/>
        <v>29.29000000000002</v>
      </c>
      <c r="I198" s="3">
        <f t="shared" si="15"/>
        <v>0</v>
      </c>
      <c r="J198" s="2" t="str">
        <f t="shared" si="12"/>
        <v>Matched</v>
      </c>
      <c r="K198" s="2" t="str">
        <f t="shared" si="13"/>
        <v>Clean Record</v>
      </c>
    </row>
    <row r="199" spans="1:11" ht="16.8" x14ac:dyDescent="0.4">
      <c r="A199" s="2" t="str">
        <f>POS_Sales_Report!A199</f>
        <v>POS-1197</v>
      </c>
      <c r="B199" s="2" t="str">
        <f>POS_Sales_Report!B199</f>
        <v>REF-80197</v>
      </c>
      <c r="C199" s="2" t="str">
        <f>POS_Sales_Report!C199</f>
        <v>2026-08-13</v>
      </c>
      <c r="D199" s="2" t="str">
        <f>POS_Sales_Report!D199</f>
        <v>Jahez</v>
      </c>
      <c r="E199" s="3">
        <f>POS_Sales_Report!G199</f>
        <v>110.68</v>
      </c>
      <c r="F199" s="3">
        <f>IFERROR(INDEX(Delivery_Platform_Report!$E:$E,MATCH(B199,Delivery_Platform_Report!$A:$A,0)),0)</f>
        <v>110.68</v>
      </c>
      <c r="G199" s="3">
        <f>IFERROR(INDEX(Delivery_Platform_Report!$H:$H,MATCH(B199,Delivery_Platform_Report!$A:$A,0)),0)</f>
        <v>87.77</v>
      </c>
      <c r="H199" s="3">
        <f t="shared" si="14"/>
        <v>22.910000000000011</v>
      </c>
      <c r="I199" s="3">
        <f t="shared" si="15"/>
        <v>0</v>
      </c>
      <c r="J199" s="2" t="str">
        <f t="shared" si="12"/>
        <v>Matched</v>
      </c>
      <c r="K199" s="2" t="str">
        <f t="shared" si="13"/>
        <v>Clean Record</v>
      </c>
    </row>
    <row r="200" spans="1:11" ht="16.8" x14ac:dyDescent="0.4">
      <c r="A200" s="2" t="str">
        <f>POS_Sales_Report!A200</f>
        <v>POS-1198</v>
      </c>
      <c r="B200" s="2" t="str">
        <f>POS_Sales_Report!B200</f>
        <v>REF-80198</v>
      </c>
      <c r="C200" s="2" t="str">
        <f>POS_Sales_Report!C200</f>
        <v>2026-08-13</v>
      </c>
      <c r="D200" s="2" t="str">
        <f>POS_Sales_Report!D200</f>
        <v>Chefz</v>
      </c>
      <c r="E200" s="3">
        <f>POS_Sales_Report!G200</f>
        <v>159.93</v>
      </c>
      <c r="F200" s="3">
        <f>IFERROR(INDEX(Delivery_Platform_Report!$E:$E,MATCH(B200,Delivery_Platform_Report!$A:$A,0)),0)</f>
        <v>159.93</v>
      </c>
      <c r="G200" s="3">
        <f>IFERROR(INDEX(Delivery_Platform_Report!$H:$H,MATCH(B200,Delivery_Platform_Report!$A:$A,0)),0)</f>
        <v>119.47</v>
      </c>
      <c r="H200" s="3">
        <f t="shared" si="14"/>
        <v>40.460000000000008</v>
      </c>
      <c r="I200" s="3">
        <f t="shared" si="15"/>
        <v>0</v>
      </c>
      <c r="J200" s="2" t="str">
        <f t="shared" si="12"/>
        <v>Matched</v>
      </c>
      <c r="K200" s="2" t="str">
        <f t="shared" si="13"/>
        <v>Clean Record</v>
      </c>
    </row>
    <row r="201" spans="1:11" ht="16.8" x14ac:dyDescent="0.4">
      <c r="A201" s="2" t="str">
        <f>POS_Sales_Report!A201</f>
        <v>POS-1199</v>
      </c>
      <c r="B201" s="2" t="str">
        <f>POS_Sales_Report!B201</f>
        <v>REF-80199</v>
      </c>
      <c r="C201" s="2" t="str">
        <f>POS_Sales_Report!C201</f>
        <v>2026-08-13</v>
      </c>
      <c r="D201" s="2" t="str">
        <f>POS_Sales_Report!D201</f>
        <v>Ninja</v>
      </c>
      <c r="E201" s="3">
        <f>POS_Sales_Report!G201</f>
        <v>120.93</v>
      </c>
      <c r="F201" s="3">
        <f>IFERROR(INDEX(Delivery_Platform_Report!$E:$E,MATCH(B201,Delivery_Platform_Report!$A:$A,0)),0)</f>
        <v>120.93</v>
      </c>
      <c r="G201" s="3">
        <f>IFERROR(INDEX(Delivery_Platform_Report!$H:$H,MATCH(B201,Delivery_Platform_Report!$A:$A,0)),0)</f>
        <v>104.24</v>
      </c>
      <c r="H201" s="3">
        <f t="shared" si="14"/>
        <v>16.690000000000012</v>
      </c>
      <c r="I201" s="3">
        <f t="shared" si="15"/>
        <v>0</v>
      </c>
      <c r="J201" s="2" t="str">
        <f t="shared" si="12"/>
        <v>Matched</v>
      </c>
      <c r="K201" s="2" t="str">
        <f t="shared" si="13"/>
        <v>Clean Record</v>
      </c>
    </row>
    <row r="202" spans="1:11" ht="16.8" x14ac:dyDescent="0.4">
      <c r="A202" s="2" t="str">
        <f>POS_Sales_Report!A202</f>
        <v>POS-1200</v>
      </c>
      <c r="B202" s="2" t="str">
        <f>POS_Sales_Report!B202</f>
        <v>REF-80200</v>
      </c>
      <c r="C202" s="2" t="str">
        <f>POS_Sales_Report!C202</f>
        <v>2026-08-13</v>
      </c>
      <c r="D202" s="2" t="str">
        <f>POS_Sales_Report!D202</f>
        <v>Hungerstation</v>
      </c>
      <c r="E202" s="3">
        <f>POS_Sales_Report!G202</f>
        <v>164.83</v>
      </c>
      <c r="F202" s="3">
        <f>IFERROR(INDEX(Delivery_Platform_Report!$E:$E,MATCH(B202,Delivery_Platform_Report!$A:$A,0)),0)</f>
        <v>164.83</v>
      </c>
      <c r="G202" s="3">
        <f>IFERROR(INDEX(Delivery_Platform_Report!$H:$H,MATCH(B202,Delivery_Platform_Report!$A:$A,0)),0)</f>
        <v>126.91</v>
      </c>
      <c r="H202" s="3">
        <f t="shared" si="14"/>
        <v>37.920000000000016</v>
      </c>
      <c r="I202" s="3">
        <f t="shared" si="15"/>
        <v>0</v>
      </c>
      <c r="J202" s="2" t="str">
        <f t="shared" si="12"/>
        <v>Matched</v>
      </c>
      <c r="K202" s="2" t="str">
        <f t="shared" si="13"/>
        <v>Clean Record</v>
      </c>
    </row>
    <row r="203" spans="1:11" ht="16.8" x14ac:dyDescent="0.4">
      <c r="A203" s="2" t="str">
        <f>POS_Sales_Report!A203</f>
        <v>POS-1201</v>
      </c>
      <c r="B203" s="2" t="str">
        <f>POS_Sales_Report!B203</f>
        <v>REF-80201</v>
      </c>
      <c r="C203" s="2" t="str">
        <f>POS_Sales_Report!C203</f>
        <v>2026-08-13</v>
      </c>
      <c r="D203" s="2" t="str">
        <f>POS_Sales_Report!D203</f>
        <v>ToYou</v>
      </c>
      <c r="E203" s="3">
        <f>POS_Sales_Report!G203</f>
        <v>111.53</v>
      </c>
      <c r="F203" s="3">
        <f>IFERROR(INDEX(Delivery_Platform_Report!$E:$E,MATCH(B203,Delivery_Platform_Report!$A:$A,0)),0)</f>
        <v>111.53</v>
      </c>
      <c r="G203" s="3">
        <f>IFERROR(INDEX(Delivery_Platform_Report!$H:$H,MATCH(B203,Delivery_Platform_Report!$A:$A,0)),0)</f>
        <v>92.29</v>
      </c>
      <c r="H203" s="3">
        <f t="shared" si="14"/>
        <v>19.239999999999995</v>
      </c>
      <c r="I203" s="3">
        <f t="shared" si="15"/>
        <v>0</v>
      </c>
      <c r="J203" s="2" t="str">
        <f t="shared" si="12"/>
        <v>Matched</v>
      </c>
      <c r="K203" s="2" t="str">
        <f t="shared" si="13"/>
        <v>Clean Record</v>
      </c>
    </row>
    <row r="204" spans="1:11" ht="16.8" x14ac:dyDescent="0.4">
      <c r="A204" s="2" t="str">
        <f>POS_Sales_Report!A204</f>
        <v>POS-1202</v>
      </c>
      <c r="B204" s="2" t="str">
        <f>POS_Sales_Report!B204</f>
        <v>REF-80202</v>
      </c>
      <c r="C204" s="2" t="str">
        <f>POS_Sales_Report!C204</f>
        <v>2026-08-13</v>
      </c>
      <c r="D204" s="2" t="str">
        <f>POS_Sales_Report!D204</f>
        <v>Jahez</v>
      </c>
      <c r="E204" s="3">
        <f>POS_Sales_Report!G204</f>
        <v>94.75</v>
      </c>
      <c r="F204" s="3">
        <f>IFERROR(INDEX(Delivery_Platform_Report!$E:$E,MATCH(B204,Delivery_Platform_Report!$A:$A,0)),0)</f>
        <v>94.75</v>
      </c>
      <c r="G204" s="3">
        <f>IFERROR(INDEX(Delivery_Platform_Report!$H:$H,MATCH(B204,Delivery_Platform_Report!$A:$A,0)),0)</f>
        <v>75.13</v>
      </c>
      <c r="H204" s="3">
        <f t="shared" si="14"/>
        <v>19.620000000000005</v>
      </c>
      <c r="I204" s="3">
        <f t="shared" si="15"/>
        <v>0</v>
      </c>
      <c r="J204" s="2" t="str">
        <f t="shared" si="12"/>
        <v>Matched</v>
      </c>
      <c r="K204" s="2" t="str">
        <f t="shared" si="13"/>
        <v>Clean Record</v>
      </c>
    </row>
    <row r="205" spans="1:11" ht="16.8" x14ac:dyDescent="0.4">
      <c r="A205" s="2" t="str">
        <f>POS_Sales_Report!A205</f>
        <v>POS-1203</v>
      </c>
      <c r="B205" s="2" t="str">
        <f>POS_Sales_Report!B205</f>
        <v>REF-80203</v>
      </c>
      <c r="C205" s="2" t="str">
        <f>POS_Sales_Report!C205</f>
        <v>2026-08-13</v>
      </c>
      <c r="D205" s="2" t="str">
        <f>POS_Sales_Report!D205</f>
        <v>Jahez</v>
      </c>
      <c r="E205" s="3">
        <f>POS_Sales_Report!G205</f>
        <v>129.75</v>
      </c>
      <c r="F205" s="3">
        <f>IFERROR(INDEX(Delivery_Platform_Report!$E:$E,MATCH(B205,Delivery_Platform_Report!$A:$A,0)),0)</f>
        <v>129.75</v>
      </c>
      <c r="G205" s="3">
        <f>IFERROR(INDEX(Delivery_Platform_Report!$H:$H,MATCH(B205,Delivery_Platform_Report!$A:$A,0)),0)</f>
        <v>102.89</v>
      </c>
      <c r="H205" s="3">
        <f t="shared" si="14"/>
        <v>26.86</v>
      </c>
      <c r="I205" s="3">
        <f t="shared" si="15"/>
        <v>0</v>
      </c>
      <c r="J205" s="2" t="str">
        <f t="shared" si="12"/>
        <v>Matched</v>
      </c>
      <c r="K205" s="2" t="str">
        <f t="shared" si="13"/>
        <v>Clean Record</v>
      </c>
    </row>
    <row r="206" spans="1:11" ht="16.8" x14ac:dyDescent="0.4">
      <c r="A206" s="2" t="str">
        <f>POS_Sales_Report!A206</f>
        <v>POS-1204</v>
      </c>
      <c r="B206" s="2" t="str">
        <f>POS_Sales_Report!B206</f>
        <v>REF-80204</v>
      </c>
      <c r="C206" s="2" t="str">
        <f>POS_Sales_Report!C206</f>
        <v>2026-08-14</v>
      </c>
      <c r="D206" s="2" t="str">
        <f>POS_Sales_Report!D206</f>
        <v>Ninja</v>
      </c>
      <c r="E206" s="3">
        <f>POS_Sales_Report!G206</f>
        <v>185.51</v>
      </c>
      <c r="F206" s="3">
        <f>IFERROR(INDEX(Delivery_Platform_Report!$E:$E,MATCH(B206,Delivery_Platform_Report!$A:$A,0)),0)</f>
        <v>185.51</v>
      </c>
      <c r="G206" s="3">
        <f>IFERROR(INDEX(Delivery_Platform_Report!$H:$H,MATCH(B206,Delivery_Platform_Report!$A:$A,0)),0)</f>
        <v>159.91</v>
      </c>
      <c r="H206" s="3">
        <f t="shared" si="14"/>
        <v>25.599999999999994</v>
      </c>
      <c r="I206" s="3">
        <f t="shared" si="15"/>
        <v>0</v>
      </c>
      <c r="J206" s="2" t="str">
        <f t="shared" si="12"/>
        <v>Matched</v>
      </c>
      <c r="K206" s="2" t="str">
        <f t="shared" si="13"/>
        <v>Clean Record</v>
      </c>
    </row>
    <row r="207" spans="1:11" ht="16.8" x14ac:dyDescent="0.4">
      <c r="A207" s="2" t="str">
        <f>POS_Sales_Report!A207</f>
        <v>POS-1205</v>
      </c>
      <c r="B207" s="2" t="str">
        <f>POS_Sales_Report!B207</f>
        <v>REF-80205</v>
      </c>
      <c r="C207" s="2" t="str">
        <f>POS_Sales_Report!C207</f>
        <v>2026-08-14</v>
      </c>
      <c r="D207" s="2" t="str">
        <f>POS_Sales_Report!D207</f>
        <v>ToYou</v>
      </c>
      <c r="E207" s="3">
        <f>POS_Sales_Report!G207</f>
        <v>113.15</v>
      </c>
      <c r="F207" s="3">
        <f>IFERROR(INDEX(Delivery_Platform_Report!$E:$E,MATCH(B207,Delivery_Platform_Report!$A:$A,0)),0)</f>
        <v>113.15</v>
      </c>
      <c r="G207" s="3">
        <f>IFERROR(INDEX(Delivery_Platform_Report!$H:$H,MATCH(B207,Delivery_Platform_Report!$A:$A,0)),0)</f>
        <v>93.63</v>
      </c>
      <c r="H207" s="3">
        <f t="shared" si="14"/>
        <v>19.52000000000001</v>
      </c>
      <c r="I207" s="3">
        <f t="shared" si="15"/>
        <v>0</v>
      </c>
      <c r="J207" s="2" t="str">
        <f t="shared" si="12"/>
        <v>Matched</v>
      </c>
      <c r="K207" s="2" t="str">
        <f t="shared" si="13"/>
        <v>Clean Record</v>
      </c>
    </row>
    <row r="208" spans="1:11" ht="16.8" x14ac:dyDescent="0.4">
      <c r="A208" s="2" t="str">
        <f>POS_Sales_Report!A208</f>
        <v>POS-1206</v>
      </c>
      <c r="B208" s="2" t="str">
        <f>POS_Sales_Report!B208</f>
        <v>REF-80206</v>
      </c>
      <c r="C208" s="2" t="str">
        <f>POS_Sales_Report!C208</f>
        <v>2026-08-14</v>
      </c>
      <c r="D208" s="2" t="str">
        <f>POS_Sales_Report!D208</f>
        <v>Chefz</v>
      </c>
      <c r="E208" s="3">
        <f>POS_Sales_Report!G208</f>
        <v>236.7</v>
      </c>
      <c r="F208" s="3">
        <f>IFERROR(INDEX(Delivery_Platform_Report!$E:$E,MATCH(B208,Delivery_Platform_Report!$A:$A,0)),0)</f>
        <v>236.7</v>
      </c>
      <c r="G208" s="3">
        <f>IFERROR(INDEX(Delivery_Platform_Report!$H:$H,MATCH(B208,Delivery_Platform_Report!$A:$A,0)),0)</f>
        <v>176.82</v>
      </c>
      <c r="H208" s="3">
        <f t="shared" si="14"/>
        <v>59.879999999999995</v>
      </c>
      <c r="I208" s="3">
        <f t="shared" si="15"/>
        <v>0</v>
      </c>
      <c r="J208" s="2" t="str">
        <f t="shared" si="12"/>
        <v>Matched</v>
      </c>
      <c r="K208" s="2" t="str">
        <f t="shared" si="13"/>
        <v>Clean Record</v>
      </c>
    </row>
    <row r="209" spans="1:11" ht="16.8" x14ac:dyDescent="0.4">
      <c r="A209" s="2" t="str">
        <f>POS_Sales_Report!A209</f>
        <v>POS-1207</v>
      </c>
      <c r="B209" s="2" t="str">
        <f>POS_Sales_Report!B209</f>
        <v>REF-80207</v>
      </c>
      <c r="C209" s="2" t="str">
        <f>POS_Sales_Report!C209</f>
        <v>2026-08-14</v>
      </c>
      <c r="D209" s="2" t="str">
        <f>POS_Sales_Report!D209</f>
        <v>ToYou</v>
      </c>
      <c r="E209" s="3">
        <f>POS_Sales_Report!G209</f>
        <v>48.23</v>
      </c>
      <c r="F209" s="3">
        <f>IFERROR(INDEX(Delivery_Platform_Report!$E:$E,MATCH(B209,Delivery_Platform_Report!$A:$A,0)),0)</f>
        <v>48.23</v>
      </c>
      <c r="G209" s="3">
        <f>IFERROR(INDEX(Delivery_Platform_Report!$H:$H,MATCH(B209,Delivery_Platform_Report!$A:$A,0)),0)</f>
        <v>39.92</v>
      </c>
      <c r="H209" s="3">
        <f t="shared" si="14"/>
        <v>8.3099999999999952</v>
      </c>
      <c r="I209" s="3">
        <f t="shared" si="15"/>
        <v>0</v>
      </c>
      <c r="J209" s="2" t="str">
        <f t="shared" si="12"/>
        <v>Matched</v>
      </c>
      <c r="K209" s="2" t="str">
        <f t="shared" si="13"/>
        <v>Clean Record</v>
      </c>
    </row>
    <row r="210" spans="1:11" ht="16.8" x14ac:dyDescent="0.4">
      <c r="A210" s="2" t="str">
        <f>POS_Sales_Report!A210</f>
        <v>POS-1208</v>
      </c>
      <c r="B210" s="2" t="str">
        <f>POS_Sales_Report!B210</f>
        <v>REF-80208</v>
      </c>
      <c r="C210" s="2" t="str">
        <f>POS_Sales_Report!C210</f>
        <v>2026-08-14</v>
      </c>
      <c r="D210" s="2" t="str">
        <f>POS_Sales_Report!D210</f>
        <v>Ninja</v>
      </c>
      <c r="E210" s="3">
        <f>POS_Sales_Report!G210</f>
        <v>127.77</v>
      </c>
      <c r="F210" s="3">
        <f>IFERROR(INDEX(Delivery_Platform_Report!$E:$E,MATCH(B210,Delivery_Platform_Report!$A:$A,0)),0)</f>
        <v>127.77</v>
      </c>
      <c r="G210" s="3">
        <f>IFERROR(INDEX(Delivery_Platform_Report!$H:$H,MATCH(B210,Delivery_Platform_Report!$A:$A,0)),0)</f>
        <v>110.14</v>
      </c>
      <c r="H210" s="3">
        <f t="shared" si="14"/>
        <v>17.629999999999995</v>
      </c>
      <c r="I210" s="3">
        <f t="shared" si="15"/>
        <v>0</v>
      </c>
      <c r="J210" s="2" t="str">
        <f t="shared" si="12"/>
        <v>Matched</v>
      </c>
      <c r="K210" s="2" t="str">
        <f t="shared" si="13"/>
        <v>Clean Record</v>
      </c>
    </row>
    <row r="211" spans="1:11" ht="16.8" x14ac:dyDescent="0.4">
      <c r="A211" s="2" t="str">
        <f>POS_Sales_Report!A211</f>
        <v>POS-1209</v>
      </c>
      <c r="B211" s="2" t="str">
        <f>POS_Sales_Report!B211</f>
        <v>REF-80209</v>
      </c>
      <c r="C211" s="2" t="str">
        <f>POS_Sales_Report!C211</f>
        <v>2026-08-14</v>
      </c>
      <c r="D211" s="2" t="str">
        <f>POS_Sales_Report!D211</f>
        <v>Ninja</v>
      </c>
      <c r="E211" s="3">
        <f>POS_Sales_Report!G211</f>
        <v>243.19</v>
      </c>
      <c r="F211" s="3">
        <f>IFERROR(INDEX(Delivery_Platform_Report!$E:$E,MATCH(B211,Delivery_Platform_Report!$A:$A,0)),0)</f>
        <v>243.19</v>
      </c>
      <c r="G211" s="3">
        <f>IFERROR(INDEX(Delivery_Platform_Report!$H:$H,MATCH(B211,Delivery_Platform_Report!$A:$A,0)),0)</f>
        <v>209.63</v>
      </c>
      <c r="H211" s="3">
        <f t="shared" si="14"/>
        <v>33.56</v>
      </c>
      <c r="I211" s="3">
        <f t="shared" si="15"/>
        <v>0</v>
      </c>
      <c r="J211" s="2" t="str">
        <f t="shared" si="12"/>
        <v>Matched</v>
      </c>
      <c r="K211" s="2" t="str">
        <f t="shared" si="13"/>
        <v>Clean Record</v>
      </c>
    </row>
    <row r="212" spans="1:11" ht="16.8" x14ac:dyDescent="0.4">
      <c r="A212" s="2" t="str">
        <f>POS_Sales_Report!A212</f>
        <v>POS-1210</v>
      </c>
      <c r="B212" s="2" t="str">
        <f>POS_Sales_Report!B212</f>
        <v>REF-80210</v>
      </c>
      <c r="C212" s="2" t="str">
        <f>POS_Sales_Report!C212</f>
        <v>2026-08-14</v>
      </c>
      <c r="D212" s="2" t="str">
        <f>POS_Sales_Report!D212</f>
        <v>ToYou</v>
      </c>
      <c r="E212" s="3">
        <f>POS_Sales_Report!G212</f>
        <v>139.56</v>
      </c>
      <c r="F212" s="3">
        <f>IFERROR(INDEX(Delivery_Platform_Report!$E:$E,MATCH(B212,Delivery_Platform_Report!$A:$A,0)),0)</f>
        <v>139.56</v>
      </c>
      <c r="G212" s="3">
        <f>IFERROR(INDEX(Delivery_Platform_Report!$H:$H,MATCH(B212,Delivery_Platform_Report!$A:$A,0)),0)</f>
        <v>115.49</v>
      </c>
      <c r="H212" s="3">
        <f t="shared" si="14"/>
        <v>24.070000000000007</v>
      </c>
      <c r="I212" s="3">
        <f t="shared" si="15"/>
        <v>0</v>
      </c>
      <c r="J212" s="2" t="str">
        <f t="shared" si="12"/>
        <v>Matched</v>
      </c>
      <c r="K212" s="2" t="str">
        <f t="shared" si="13"/>
        <v>Clean Record</v>
      </c>
    </row>
    <row r="213" spans="1:11" ht="16.8" x14ac:dyDescent="0.4">
      <c r="A213" s="2" t="str">
        <f>POS_Sales_Report!A213</f>
        <v>POS-1211</v>
      </c>
      <c r="B213" s="2" t="str">
        <f>POS_Sales_Report!B213</f>
        <v>REF-80211</v>
      </c>
      <c r="C213" s="2" t="str">
        <f>POS_Sales_Report!C213</f>
        <v>2026-08-14</v>
      </c>
      <c r="D213" s="2" t="str">
        <f>POS_Sales_Report!D213</f>
        <v>Ninja</v>
      </c>
      <c r="E213" s="3">
        <f>POS_Sales_Report!G213</f>
        <v>128.93</v>
      </c>
      <c r="F213" s="3">
        <f>IFERROR(INDEX(Delivery_Platform_Report!$E:$E,MATCH(B213,Delivery_Platform_Report!$A:$A,0)),0)</f>
        <v>128.93</v>
      </c>
      <c r="G213" s="3">
        <f>IFERROR(INDEX(Delivery_Platform_Report!$H:$H,MATCH(B213,Delivery_Platform_Report!$A:$A,0)),0)</f>
        <v>111.14</v>
      </c>
      <c r="H213" s="3">
        <f t="shared" si="14"/>
        <v>17.790000000000006</v>
      </c>
      <c r="I213" s="3">
        <f t="shared" si="15"/>
        <v>0</v>
      </c>
      <c r="J213" s="2" t="str">
        <f t="shared" si="12"/>
        <v>Matched</v>
      </c>
      <c r="K213" s="2" t="str">
        <f t="shared" si="13"/>
        <v>Clean Record</v>
      </c>
    </row>
    <row r="214" spans="1:11" ht="16.8" x14ac:dyDescent="0.4">
      <c r="A214" s="2" t="str">
        <f>POS_Sales_Report!A214</f>
        <v>POS-1212</v>
      </c>
      <c r="B214" s="2" t="str">
        <f>POS_Sales_Report!B214</f>
        <v>REF-80212</v>
      </c>
      <c r="C214" s="2" t="str">
        <f>POS_Sales_Report!C214</f>
        <v>2026-08-14</v>
      </c>
      <c r="D214" s="2" t="str">
        <f>POS_Sales_Report!D214</f>
        <v>ToYou</v>
      </c>
      <c r="E214" s="3">
        <f>POS_Sales_Report!G214</f>
        <v>159.38999999999999</v>
      </c>
      <c r="F214" s="3">
        <f>IFERROR(INDEX(Delivery_Platform_Report!$E:$E,MATCH(B214,Delivery_Platform_Report!$A:$A,0)),0)</f>
        <v>159.38999999999999</v>
      </c>
      <c r="G214" s="3">
        <f>IFERROR(INDEX(Delivery_Platform_Report!$H:$H,MATCH(B214,Delivery_Platform_Report!$A:$A,0)),0)</f>
        <v>131.88999999999999</v>
      </c>
      <c r="H214" s="3">
        <f t="shared" si="14"/>
        <v>27.5</v>
      </c>
      <c r="I214" s="3">
        <f t="shared" si="15"/>
        <v>0</v>
      </c>
      <c r="J214" s="2" t="str">
        <f t="shared" si="12"/>
        <v>Matched</v>
      </c>
      <c r="K214" s="2" t="str">
        <f t="shared" si="13"/>
        <v>Clean Record</v>
      </c>
    </row>
    <row r="215" spans="1:11" ht="16.8" x14ac:dyDescent="0.4">
      <c r="A215" s="2" t="str">
        <f>POS_Sales_Report!A215</f>
        <v>POS-1213</v>
      </c>
      <c r="B215" s="2" t="str">
        <f>POS_Sales_Report!B215</f>
        <v>REF-80213</v>
      </c>
      <c r="C215" s="2" t="str">
        <f>POS_Sales_Report!C215</f>
        <v>2026-08-14</v>
      </c>
      <c r="D215" s="2" t="str">
        <f>POS_Sales_Report!D215</f>
        <v>Hungerstation</v>
      </c>
      <c r="E215" s="3">
        <f>POS_Sales_Report!G215</f>
        <v>160.94</v>
      </c>
      <c r="F215" s="3">
        <f>IFERROR(INDEX(Delivery_Platform_Report!$E:$E,MATCH(B215,Delivery_Platform_Report!$A:$A,0)),0)</f>
        <v>160.94</v>
      </c>
      <c r="G215" s="3">
        <f>IFERROR(INDEX(Delivery_Platform_Report!$H:$H,MATCH(B215,Delivery_Platform_Report!$A:$A,0)),0)</f>
        <v>123.92</v>
      </c>
      <c r="H215" s="3">
        <f t="shared" si="14"/>
        <v>37.019999999999996</v>
      </c>
      <c r="I215" s="3">
        <f t="shared" si="15"/>
        <v>0</v>
      </c>
      <c r="J215" s="2" t="str">
        <f t="shared" si="12"/>
        <v>Matched</v>
      </c>
      <c r="K215" s="2" t="str">
        <f t="shared" si="13"/>
        <v>Clean Record</v>
      </c>
    </row>
    <row r="216" spans="1:11" ht="16.8" x14ac:dyDescent="0.4">
      <c r="A216" s="2" t="str">
        <f>POS_Sales_Report!A216</f>
        <v>POS-1214</v>
      </c>
      <c r="B216" s="2" t="str">
        <f>POS_Sales_Report!B216</f>
        <v>REF-80214</v>
      </c>
      <c r="C216" s="2" t="str">
        <f>POS_Sales_Report!C216</f>
        <v>2026-08-14</v>
      </c>
      <c r="D216" s="2" t="str">
        <f>POS_Sales_Report!D216</f>
        <v>ToYou</v>
      </c>
      <c r="E216" s="3">
        <f>POS_Sales_Report!G216</f>
        <v>193.65</v>
      </c>
      <c r="F216" s="3">
        <f>IFERROR(INDEX(Delivery_Platform_Report!$E:$E,MATCH(B216,Delivery_Platform_Report!$A:$A,0)),0)</f>
        <v>193.65</v>
      </c>
      <c r="G216" s="3">
        <f>IFERROR(INDEX(Delivery_Platform_Report!$H:$H,MATCH(B216,Delivery_Platform_Report!$A:$A,0)),0)</f>
        <v>160.24</v>
      </c>
      <c r="H216" s="3">
        <f t="shared" si="14"/>
        <v>33.409999999999997</v>
      </c>
      <c r="I216" s="3">
        <f t="shared" si="15"/>
        <v>0</v>
      </c>
      <c r="J216" s="2" t="str">
        <f t="shared" si="12"/>
        <v>Matched</v>
      </c>
      <c r="K216" s="2" t="str">
        <f t="shared" si="13"/>
        <v>Clean Record</v>
      </c>
    </row>
    <row r="217" spans="1:11" ht="16.8" x14ac:dyDescent="0.4">
      <c r="A217" s="2" t="str">
        <f>POS_Sales_Report!A217</f>
        <v>POS-1215</v>
      </c>
      <c r="B217" s="2" t="str">
        <f>POS_Sales_Report!B217</f>
        <v>REF-80215</v>
      </c>
      <c r="C217" s="2" t="str">
        <f>POS_Sales_Report!C217</f>
        <v>2026-08-14</v>
      </c>
      <c r="D217" s="2" t="str">
        <f>POS_Sales_Report!D217</f>
        <v>ToYou</v>
      </c>
      <c r="E217" s="3">
        <f>POS_Sales_Report!G217</f>
        <v>66.81</v>
      </c>
      <c r="F217" s="3">
        <f>IFERROR(INDEX(Delivery_Platform_Report!$E:$E,MATCH(B217,Delivery_Platform_Report!$A:$A,0)),0)</f>
        <v>66.81</v>
      </c>
      <c r="G217" s="3">
        <f>IFERROR(INDEX(Delivery_Platform_Report!$H:$H,MATCH(B217,Delivery_Platform_Report!$A:$A,0)),0)</f>
        <v>55.29</v>
      </c>
      <c r="H217" s="3">
        <f t="shared" si="14"/>
        <v>11.520000000000003</v>
      </c>
      <c r="I217" s="3">
        <f t="shared" si="15"/>
        <v>0</v>
      </c>
      <c r="J217" s="2" t="str">
        <f t="shared" si="12"/>
        <v>Matched</v>
      </c>
      <c r="K217" s="2" t="str">
        <f t="shared" si="13"/>
        <v>Clean Record</v>
      </c>
    </row>
    <row r="218" spans="1:11" ht="16.8" x14ac:dyDescent="0.4">
      <c r="A218" s="2" t="str">
        <f>POS_Sales_Report!A218</f>
        <v>POS-1216</v>
      </c>
      <c r="B218" s="2" t="str">
        <f>POS_Sales_Report!B218</f>
        <v>REF-80216</v>
      </c>
      <c r="C218" s="2" t="str">
        <f>POS_Sales_Report!C218</f>
        <v>2026-08-14</v>
      </c>
      <c r="D218" s="2" t="str">
        <f>POS_Sales_Report!D218</f>
        <v>Ninja</v>
      </c>
      <c r="E218" s="3">
        <f>POS_Sales_Report!G218</f>
        <v>92.5</v>
      </c>
      <c r="F218" s="3">
        <f>IFERROR(INDEX(Delivery_Platform_Report!$E:$E,MATCH(B218,Delivery_Platform_Report!$A:$A,0)),0)</f>
        <v>92.5</v>
      </c>
      <c r="G218" s="3">
        <f>IFERROR(INDEX(Delivery_Platform_Report!$H:$H,MATCH(B218,Delivery_Platform_Report!$A:$A,0)),0)</f>
        <v>79.739999999999995</v>
      </c>
      <c r="H218" s="3">
        <f t="shared" si="14"/>
        <v>12.760000000000005</v>
      </c>
      <c r="I218" s="3">
        <f t="shared" si="15"/>
        <v>0</v>
      </c>
      <c r="J218" s="2" t="str">
        <f t="shared" si="12"/>
        <v>Matched</v>
      </c>
      <c r="K218" s="2" t="str">
        <f t="shared" si="13"/>
        <v>Clean Record</v>
      </c>
    </row>
    <row r="219" spans="1:11" ht="16.8" x14ac:dyDescent="0.4">
      <c r="A219" s="2" t="str">
        <f>POS_Sales_Report!A219</f>
        <v>POS-1217</v>
      </c>
      <c r="B219" s="2" t="str">
        <f>POS_Sales_Report!B219</f>
        <v>REF-80217</v>
      </c>
      <c r="C219" s="2" t="str">
        <f>POS_Sales_Report!C219</f>
        <v>2026-08-14</v>
      </c>
      <c r="D219" s="2" t="str">
        <f>POS_Sales_Report!D219</f>
        <v>Ninja</v>
      </c>
      <c r="E219" s="3">
        <f>POS_Sales_Report!G219</f>
        <v>161.91</v>
      </c>
      <c r="F219" s="3">
        <f>IFERROR(INDEX(Delivery_Platform_Report!$E:$E,MATCH(B219,Delivery_Platform_Report!$A:$A,0)),0)</f>
        <v>161.91</v>
      </c>
      <c r="G219" s="3">
        <f>IFERROR(INDEX(Delivery_Platform_Report!$H:$H,MATCH(B219,Delivery_Platform_Report!$A:$A,0)),0)</f>
        <v>139.57</v>
      </c>
      <c r="H219" s="3">
        <f t="shared" si="14"/>
        <v>22.340000000000003</v>
      </c>
      <c r="I219" s="3">
        <f t="shared" si="15"/>
        <v>0</v>
      </c>
      <c r="J219" s="2" t="str">
        <f t="shared" si="12"/>
        <v>Matched</v>
      </c>
      <c r="K219" s="2" t="str">
        <f t="shared" si="13"/>
        <v>Clean Record</v>
      </c>
    </row>
    <row r="220" spans="1:11" ht="16.8" x14ac:dyDescent="0.4">
      <c r="A220" s="2" t="str">
        <f>POS_Sales_Report!A220</f>
        <v>POS-1218</v>
      </c>
      <c r="B220" s="2" t="str">
        <f>POS_Sales_Report!B220</f>
        <v>REF-80218</v>
      </c>
      <c r="C220" s="2" t="str">
        <f>POS_Sales_Report!C220</f>
        <v>2026-08-14</v>
      </c>
      <c r="D220" s="2" t="str">
        <f>POS_Sales_Report!D220</f>
        <v>Jahez</v>
      </c>
      <c r="E220" s="3">
        <f>POS_Sales_Report!G220</f>
        <v>222.09</v>
      </c>
      <c r="F220" s="3">
        <f>IFERROR(INDEX(Delivery_Platform_Report!$E:$E,MATCH(B220,Delivery_Platform_Report!$A:$A,0)),0)</f>
        <v>222.09</v>
      </c>
      <c r="G220" s="3">
        <f>IFERROR(INDEX(Delivery_Platform_Report!$H:$H,MATCH(B220,Delivery_Platform_Report!$A:$A,0)),0)</f>
        <v>176.11</v>
      </c>
      <c r="H220" s="3">
        <f t="shared" si="14"/>
        <v>45.97999999999999</v>
      </c>
      <c r="I220" s="3">
        <f t="shared" si="15"/>
        <v>0</v>
      </c>
      <c r="J220" s="2" t="str">
        <f t="shared" si="12"/>
        <v>Matched</v>
      </c>
      <c r="K220" s="2" t="str">
        <f t="shared" si="13"/>
        <v>Clean Record</v>
      </c>
    </row>
    <row r="221" spans="1:11" ht="16.8" x14ac:dyDescent="0.4">
      <c r="A221" s="2" t="str">
        <f>POS_Sales_Report!A221</f>
        <v>POS-1219</v>
      </c>
      <c r="B221" s="2" t="str">
        <f>POS_Sales_Report!B221</f>
        <v>REF-80219</v>
      </c>
      <c r="C221" s="2" t="str">
        <f>POS_Sales_Report!C221</f>
        <v>2026-08-15</v>
      </c>
      <c r="D221" s="2" t="str">
        <f>POS_Sales_Report!D221</f>
        <v>Jahez</v>
      </c>
      <c r="E221" s="3">
        <f>POS_Sales_Report!G221</f>
        <v>157.99</v>
      </c>
      <c r="F221" s="3">
        <f>IFERROR(INDEX(Delivery_Platform_Report!$E:$E,MATCH(B221,Delivery_Platform_Report!$A:$A,0)),0)</f>
        <v>157.99</v>
      </c>
      <c r="G221" s="3">
        <f>IFERROR(INDEX(Delivery_Platform_Report!$H:$H,MATCH(B221,Delivery_Platform_Report!$A:$A,0)),0)</f>
        <v>125.28</v>
      </c>
      <c r="H221" s="3">
        <f t="shared" si="14"/>
        <v>32.710000000000008</v>
      </c>
      <c r="I221" s="3">
        <f t="shared" si="15"/>
        <v>0</v>
      </c>
      <c r="J221" s="2" t="str">
        <f t="shared" si="12"/>
        <v>Matched</v>
      </c>
      <c r="K221" s="2" t="str">
        <f t="shared" si="13"/>
        <v>Clean Record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1"/>
  <sheetViews>
    <sheetView workbookViewId="0"/>
  </sheetViews>
  <sheetFormatPr defaultRowHeight="14.4" x14ac:dyDescent="0.3"/>
  <cols>
    <col min="1" max="1" width="16" customWidth="1"/>
    <col min="2" max="2" width="25" customWidth="1"/>
    <col min="3" max="3" width="14" customWidth="1"/>
    <col min="4" max="4" width="17" customWidth="1"/>
    <col min="5" max="5" width="20" customWidth="1"/>
    <col min="6" max="6" width="16" customWidth="1"/>
    <col min="7" max="7" width="22" customWidth="1"/>
    <col min="8" max="8" width="14" customWidth="1"/>
  </cols>
  <sheetData>
    <row r="1" spans="1:8" ht="16.8" x14ac:dyDescent="0.4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</row>
    <row r="2" spans="1:8" ht="16.8" x14ac:dyDescent="0.4">
      <c r="A2" s="2" t="s">
        <v>32</v>
      </c>
      <c r="B2" s="2" t="s">
        <v>33</v>
      </c>
      <c r="C2" s="2" t="s">
        <v>34</v>
      </c>
      <c r="D2" s="2" t="s">
        <v>14</v>
      </c>
      <c r="E2" s="2">
        <v>123.49</v>
      </c>
      <c r="F2" s="2">
        <v>0</v>
      </c>
      <c r="G2" s="2">
        <v>123.49</v>
      </c>
      <c r="H2" s="2" t="s">
        <v>35</v>
      </c>
    </row>
    <row r="3" spans="1:8" ht="16.8" x14ac:dyDescent="0.4">
      <c r="A3" s="2" t="s">
        <v>36</v>
      </c>
      <c r="B3" s="2" t="s">
        <v>37</v>
      </c>
      <c r="C3" s="2" t="s">
        <v>34</v>
      </c>
      <c r="D3" s="2" t="s">
        <v>15</v>
      </c>
      <c r="E3" s="2">
        <v>148.72999999999999</v>
      </c>
      <c r="F3" s="2">
        <v>0</v>
      </c>
      <c r="G3" s="2">
        <v>148.72999999999999</v>
      </c>
      <c r="H3" s="2" t="s">
        <v>35</v>
      </c>
    </row>
    <row r="4" spans="1:8" ht="16.8" x14ac:dyDescent="0.4">
      <c r="A4" s="2" t="s">
        <v>38</v>
      </c>
      <c r="B4" s="2" t="s">
        <v>39</v>
      </c>
      <c r="C4" s="2" t="s">
        <v>34</v>
      </c>
      <c r="D4" s="2" t="s">
        <v>13</v>
      </c>
      <c r="E4" s="2">
        <v>215.92</v>
      </c>
      <c r="F4" s="2">
        <v>21.59</v>
      </c>
      <c r="G4" s="2">
        <v>194.33</v>
      </c>
      <c r="H4" s="2" t="s">
        <v>35</v>
      </c>
    </row>
    <row r="5" spans="1:8" ht="16.8" x14ac:dyDescent="0.4">
      <c r="A5" s="2" t="s">
        <v>40</v>
      </c>
      <c r="B5" s="2" t="s">
        <v>41</v>
      </c>
      <c r="C5" s="2" t="s">
        <v>34</v>
      </c>
      <c r="D5" s="2" t="s">
        <v>15</v>
      </c>
      <c r="E5" s="2">
        <v>181.89</v>
      </c>
      <c r="F5" s="2">
        <v>0</v>
      </c>
      <c r="G5" s="2">
        <v>181.89</v>
      </c>
      <c r="H5" s="2" t="s">
        <v>35</v>
      </c>
    </row>
    <row r="6" spans="1:8" ht="16.8" x14ac:dyDescent="0.4">
      <c r="A6" s="2" t="s">
        <v>42</v>
      </c>
      <c r="B6" s="2" t="s">
        <v>43</v>
      </c>
      <c r="C6" s="2" t="s">
        <v>34</v>
      </c>
      <c r="D6" s="2" t="s">
        <v>15</v>
      </c>
      <c r="E6" s="2">
        <v>194.4</v>
      </c>
      <c r="F6" s="2">
        <v>0</v>
      </c>
      <c r="G6" s="2">
        <v>194.4</v>
      </c>
      <c r="H6" s="2" t="s">
        <v>35</v>
      </c>
    </row>
    <row r="7" spans="1:8" ht="16.8" x14ac:dyDescent="0.4">
      <c r="A7" s="2" t="s">
        <v>44</v>
      </c>
      <c r="B7" s="2" t="s">
        <v>45</v>
      </c>
      <c r="C7" s="2" t="s">
        <v>34</v>
      </c>
      <c r="D7" s="2" t="s">
        <v>12</v>
      </c>
      <c r="E7" s="2">
        <v>83.91</v>
      </c>
      <c r="F7" s="2">
        <v>0</v>
      </c>
      <c r="G7" s="2">
        <v>83.91</v>
      </c>
      <c r="H7" s="2" t="s">
        <v>35</v>
      </c>
    </row>
    <row r="8" spans="1:8" ht="16.8" x14ac:dyDescent="0.4">
      <c r="A8" s="2" t="s">
        <v>46</v>
      </c>
      <c r="B8" s="2" t="s">
        <v>47</v>
      </c>
      <c r="C8" s="2" t="s">
        <v>34</v>
      </c>
      <c r="D8" s="2" t="s">
        <v>13</v>
      </c>
      <c r="E8" s="2">
        <v>153.69999999999999</v>
      </c>
      <c r="F8" s="2">
        <v>0</v>
      </c>
      <c r="G8" s="2">
        <v>153.69999999999999</v>
      </c>
      <c r="H8" s="2" t="s">
        <v>35</v>
      </c>
    </row>
    <row r="9" spans="1:8" ht="16.8" x14ac:dyDescent="0.4">
      <c r="A9" s="2" t="s">
        <v>48</v>
      </c>
      <c r="B9" s="2" t="s">
        <v>49</v>
      </c>
      <c r="C9" s="2" t="s">
        <v>34</v>
      </c>
      <c r="D9" s="2" t="s">
        <v>13</v>
      </c>
      <c r="E9" s="2">
        <v>186.11</v>
      </c>
      <c r="F9" s="2">
        <v>0</v>
      </c>
      <c r="G9" s="2">
        <v>186.11</v>
      </c>
      <c r="H9" s="2" t="s">
        <v>35</v>
      </c>
    </row>
    <row r="10" spans="1:8" ht="16.8" x14ac:dyDescent="0.4">
      <c r="A10" s="2" t="s">
        <v>50</v>
      </c>
      <c r="B10" s="2" t="s">
        <v>51</v>
      </c>
      <c r="C10" s="2" t="s">
        <v>34</v>
      </c>
      <c r="D10" s="2" t="s">
        <v>13</v>
      </c>
      <c r="E10" s="2">
        <v>88</v>
      </c>
      <c r="F10" s="2">
        <v>0</v>
      </c>
      <c r="G10" s="2">
        <v>88</v>
      </c>
      <c r="H10" s="2" t="s">
        <v>35</v>
      </c>
    </row>
    <row r="11" spans="1:8" ht="16.8" x14ac:dyDescent="0.4">
      <c r="A11" s="2" t="s">
        <v>52</v>
      </c>
      <c r="B11" s="2" t="s">
        <v>53</v>
      </c>
      <c r="C11" s="2" t="s">
        <v>34</v>
      </c>
      <c r="D11" s="2" t="s">
        <v>15</v>
      </c>
      <c r="E11" s="2">
        <v>76.739999999999995</v>
      </c>
      <c r="F11" s="2">
        <v>0</v>
      </c>
      <c r="G11" s="2">
        <v>76.739999999999995</v>
      </c>
      <c r="H11" s="2" t="s">
        <v>35</v>
      </c>
    </row>
    <row r="12" spans="1:8" ht="16.8" x14ac:dyDescent="0.4">
      <c r="A12" s="2" t="s">
        <v>54</v>
      </c>
      <c r="B12" s="2" t="s">
        <v>55</v>
      </c>
      <c r="C12" s="2" t="s">
        <v>34</v>
      </c>
      <c r="D12" s="2" t="s">
        <v>14</v>
      </c>
      <c r="E12" s="2">
        <v>246.26</v>
      </c>
      <c r="F12" s="2">
        <v>0</v>
      </c>
      <c r="G12" s="2">
        <v>246.26</v>
      </c>
      <c r="H12" s="2" t="s">
        <v>35</v>
      </c>
    </row>
    <row r="13" spans="1:8" ht="16.8" x14ac:dyDescent="0.4">
      <c r="A13" s="2" t="s">
        <v>56</v>
      </c>
      <c r="B13" s="2" t="s">
        <v>57</v>
      </c>
      <c r="C13" s="2" t="s">
        <v>34</v>
      </c>
      <c r="D13" s="2" t="s">
        <v>13</v>
      </c>
      <c r="E13" s="2">
        <v>148.49</v>
      </c>
      <c r="F13" s="2">
        <v>14.85</v>
      </c>
      <c r="G13" s="2">
        <v>133.63999999999999</v>
      </c>
      <c r="H13" s="2" t="s">
        <v>35</v>
      </c>
    </row>
    <row r="14" spans="1:8" ht="16.8" x14ac:dyDescent="0.4">
      <c r="A14" s="2" t="s">
        <v>58</v>
      </c>
      <c r="B14" s="2" t="s">
        <v>59</v>
      </c>
      <c r="C14" s="2" t="s">
        <v>34</v>
      </c>
      <c r="D14" s="2" t="s">
        <v>15</v>
      </c>
      <c r="E14" s="2">
        <v>94.77</v>
      </c>
      <c r="F14" s="2">
        <v>9.48</v>
      </c>
      <c r="G14" s="2">
        <v>85.289999999999992</v>
      </c>
      <c r="H14" s="2" t="s">
        <v>35</v>
      </c>
    </row>
    <row r="15" spans="1:8" ht="16.8" x14ac:dyDescent="0.4">
      <c r="A15" s="2" t="s">
        <v>60</v>
      </c>
      <c r="B15" s="2" t="s">
        <v>61</v>
      </c>
      <c r="C15" s="2" t="s">
        <v>34</v>
      </c>
      <c r="D15" s="2" t="s">
        <v>12</v>
      </c>
      <c r="E15" s="2">
        <v>249.21</v>
      </c>
      <c r="F15" s="2">
        <v>0</v>
      </c>
      <c r="G15" s="2">
        <v>249.21</v>
      </c>
      <c r="H15" s="2" t="s">
        <v>35</v>
      </c>
    </row>
    <row r="16" spans="1:8" ht="16.8" x14ac:dyDescent="0.4">
      <c r="A16" s="2" t="s">
        <v>62</v>
      </c>
      <c r="B16" s="2" t="s">
        <v>63</v>
      </c>
      <c r="C16" s="2" t="s">
        <v>34</v>
      </c>
      <c r="D16" s="2" t="s">
        <v>14</v>
      </c>
      <c r="E16" s="2">
        <v>242.74</v>
      </c>
      <c r="F16" s="2">
        <v>24.27</v>
      </c>
      <c r="G16" s="2">
        <v>218.47</v>
      </c>
      <c r="H16" s="2" t="s">
        <v>35</v>
      </c>
    </row>
    <row r="17" spans="1:8" ht="16.8" x14ac:dyDescent="0.4">
      <c r="A17" s="2" t="s">
        <v>64</v>
      </c>
      <c r="B17" s="2" t="s">
        <v>65</v>
      </c>
      <c r="C17" s="2" t="s">
        <v>34</v>
      </c>
      <c r="D17" s="2" t="s">
        <v>12</v>
      </c>
      <c r="E17" s="2">
        <v>157.24</v>
      </c>
      <c r="F17" s="2">
        <v>0</v>
      </c>
      <c r="G17" s="2">
        <v>157.24</v>
      </c>
      <c r="H17" s="2" t="s">
        <v>35</v>
      </c>
    </row>
    <row r="18" spans="1:8" ht="16.8" x14ac:dyDescent="0.4">
      <c r="A18" s="2" t="s">
        <v>66</v>
      </c>
      <c r="B18" s="2" t="s">
        <v>67</v>
      </c>
      <c r="C18" s="2" t="s">
        <v>68</v>
      </c>
      <c r="D18" s="2" t="s">
        <v>14</v>
      </c>
      <c r="E18" s="2">
        <v>225.35</v>
      </c>
      <c r="F18" s="2">
        <v>0</v>
      </c>
      <c r="G18" s="2">
        <v>225.35</v>
      </c>
      <c r="H18" s="2" t="s">
        <v>35</v>
      </c>
    </row>
    <row r="19" spans="1:8" ht="16.8" x14ac:dyDescent="0.4">
      <c r="A19" s="2" t="s">
        <v>69</v>
      </c>
      <c r="B19" s="2" t="s">
        <v>70</v>
      </c>
      <c r="C19" s="2" t="s">
        <v>68</v>
      </c>
      <c r="D19" s="2" t="s">
        <v>15</v>
      </c>
      <c r="E19" s="2">
        <v>79.63</v>
      </c>
      <c r="F19" s="2">
        <v>0</v>
      </c>
      <c r="G19" s="2">
        <v>79.63</v>
      </c>
      <c r="H19" s="2" t="s">
        <v>35</v>
      </c>
    </row>
    <row r="20" spans="1:8" ht="16.8" x14ac:dyDescent="0.4">
      <c r="A20" s="2" t="s">
        <v>71</v>
      </c>
      <c r="B20" s="2" t="s">
        <v>72</v>
      </c>
      <c r="C20" s="2" t="s">
        <v>68</v>
      </c>
      <c r="D20" s="2" t="s">
        <v>11</v>
      </c>
      <c r="E20" s="2">
        <v>98.56</v>
      </c>
      <c r="F20" s="2">
        <v>0</v>
      </c>
      <c r="G20" s="2">
        <v>98.56</v>
      </c>
      <c r="H20" s="2" t="s">
        <v>35</v>
      </c>
    </row>
    <row r="21" spans="1:8" ht="16.8" x14ac:dyDescent="0.4">
      <c r="A21" s="2" t="s">
        <v>73</v>
      </c>
      <c r="B21" s="2" t="s">
        <v>74</v>
      </c>
      <c r="C21" s="2" t="s">
        <v>68</v>
      </c>
      <c r="D21" s="2" t="s">
        <v>14</v>
      </c>
      <c r="E21" s="2">
        <v>187.08</v>
      </c>
      <c r="F21" s="2">
        <v>0</v>
      </c>
      <c r="G21" s="2">
        <v>187.08</v>
      </c>
      <c r="H21" s="2" t="s">
        <v>35</v>
      </c>
    </row>
    <row r="22" spans="1:8" ht="16.8" x14ac:dyDescent="0.4">
      <c r="A22" s="2" t="s">
        <v>75</v>
      </c>
      <c r="B22" s="2" t="s">
        <v>76</v>
      </c>
      <c r="C22" s="2" t="s">
        <v>68</v>
      </c>
      <c r="D22" s="2" t="s">
        <v>12</v>
      </c>
      <c r="E22" s="2">
        <v>217.8</v>
      </c>
      <c r="F22" s="2">
        <v>0</v>
      </c>
      <c r="G22" s="2">
        <v>217.8</v>
      </c>
      <c r="H22" s="2" t="s">
        <v>35</v>
      </c>
    </row>
    <row r="23" spans="1:8" ht="16.8" x14ac:dyDescent="0.4">
      <c r="A23" s="2" t="s">
        <v>77</v>
      </c>
      <c r="B23" s="2" t="s">
        <v>78</v>
      </c>
      <c r="C23" s="2" t="s">
        <v>68</v>
      </c>
      <c r="D23" s="2" t="s">
        <v>15</v>
      </c>
      <c r="E23" s="2">
        <v>219.83</v>
      </c>
      <c r="F23" s="2">
        <v>0</v>
      </c>
      <c r="G23" s="2">
        <v>219.83</v>
      </c>
      <c r="H23" s="2" t="s">
        <v>35</v>
      </c>
    </row>
    <row r="24" spans="1:8" ht="16.8" x14ac:dyDescent="0.4">
      <c r="A24" s="2" t="s">
        <v>79</v>
      </c>
      <c r="B24" s="2" t="s">
        <v>80</v>
      </c>
      <c r="C24" s="2" t="s">
        <v>68</v>
      </c>
      <c r="D24" s="2" t="s">
        <v>14</v>
      </c>
      <c r="E24" s="2">
        <v>124.95</v>
      </c>
      <c r="F24" s="2">
        <v>0</v>
      </c>
      <c r="G24" s="2">
        <v>124.95</v>
      </c>
      <c r="H24" s="2" t="s">
        <v>35</v>
      </c>
    </row>
    <row r="25" spans="1:8" ht="16.8" x14ac:dyDescent="0.4">
      <c r="A25" s="2" t="s">
        <v>81</v>
      </c>
      <c r="B25" s="2" t="s">
        <v>82</v>
      </c>
      <c r="C25" s="2" t="s">
        <v>68</v>
      </c>
      <c r="D25" s="2" t="s">
        <v>11</v>
      </c>
      <c r="E25" s="2">
        <v>226.43</v>
      </c>
      <c r="F25" s="2">
        <v>22.64</v>
      </c>
      <c r="G25" s="2">
        <v>203.79</v>
      </c>
      <c r="H25" s="2" t="s">
        <v>35</v>
      </c>
    </row>
    <row r="26" spans="1:8" ht="16.8" x14ac:dyDescent="0.4">
      <c r="A26" s="2" t="s">
        <v>83</v>
      </c>
      <c r="B26" s="2" t="s">
        <v>84</v>
      </c>
      <c r="C26" s="2" t="s">
        <v>68</v>
      </c>
      <c r="D26" s="2" t="s">
        <v>11</v>
      </c>
      <c r="E26" s="2">
        <v>218.69</v>
      </c>
      <c r="F26" s="2">
        <v>21.87</v>
      </c>
      <c r="G26" s="2">
        <v>196.82</v>
      </c>
      <c r="H26" s="2" t="s">
        <v>35</v>
      </c>
    </row>
    <row r="27" spans="1:8" ht="16.8" x14ac:dyDescent="0.4">
      <c r="A27" s="2" t="s">
        <v>85</v>
      </c>
      <c r="B27" s="2" t="s">
        <v>86</v>
      </c>
      <c r="C27" s="2" t="s">
        <v>68</v>
      </c>
      <c r="D27" s="2" t="s">
        <v>13</v>
      </c>
      <c r="E27" s="2">
        <v>236.48</v>
      </c>
      <c r="F27" s="2">
        <v>0</v>
      </c>
      <c r="G27" s="2">
        <v>236.48</v>
      </c>
      <c r="H27" s="2" t="s">
        <v>35</v>
      </c>
    </row>
    <row r="28" spans="1:8" ht="16.8" x14ac:dyDescent="0.4">
      <c r="A28" s="2" t="s">
        <v>87</v>
      </c>
      <c r="B28" s="2" t="s">
        <v>88</v>
      </c>
      <c r="C28" s="2" t="s">
        <v>68</v>
      </c>
      <c r="D28" s="2" t="s">
        <v>13</v>
      </c>
      <c r="E28" s="2">
        <v>204.92</v>
      </c>
      <c r="F28" s="2">
        <v>20.49</v>
      </c>
      <c r="G28" s="2">
        <v>184.43</v>
      </c>
      <c r="H28" s="2" t="s">
        <v>35</v>
      </c>
    </row>
    <row r="29" spans="1:8" ht="16.8" x14ac:dyDescent="0.4">
      <c r="A29" s="2" t="s">
        <v>89</v>
      </c>
      <c r="B29" s="2" t="s">
        <v>90</v>
      </c>
      <c r="C29" s="2" t="s">
        <v>68</v>
      </c>
      <c r="D29" s="2" t="s">
        <v>12</v>
      </c>
      <c r="E29" s="2">
        <v>180.49</v>
      </c>
      <c r="F29" s="2">
        <v>18.05</v>
      </c>
      <c r="G29" s="2">
        <v>162.44</v>
      </c>
      <c r="H29" s="2" t="s">
        <v>35</v>
      </c>
    </row>
    <row r="30" spans="1:8" ht="16.8" x14ac:dyDescent="0.4">
      <c r="A30" s="2" t="s">
        <v>91</v>
      </c>
      <c r="B30" s="2" t="s">
        <v>92</v>
      </c>
      <c r="C30" s="2" t="s">
        <v>68</v>
      </c>
      <c r="D30" s="2" t="s">
        <v>14</v>
      </c>
      <c r="E30" s="2">
        <v>161.94</v>
      </c>
      <c r="F30" s="2">
        <v>16.190000000000001</v>
      </c>
      <c r="G30" s="2">
        <v>145.75</v>
      </c>
      <c r="H30" s="2" t="s">
        <v>35</v>
      </c>
    </row>
    <row r="31" spans="1:8" ht="16.8" x14ac:dyDescent="0.4">
      <c r="A31" s="2" t="s">
        <v>93</v>
      </c>
      <c r="B31" s="2" t="s">
        <v>94</v>
      </c>
      <c r="C31" s="2" t="s">
        <v>68</v>
      </c>
      <c r="D31" s="2" t="s">
        <v>14</v>
      </c>
      <c r="E31" s="2">
        <v>118.18</v>
      </c>
      <c r="F31" s="2">
        <v>0</v>
      </c>
      <c r="G31" s="2">
        <v>118.18</v>
      </c>
      <c r="H31" s="2" t="s">
        <v>35</v>
      </c>
    </row>
    <row r="32" spans="1:8" ht="16.8" x14ac:dyDescent="0.4">
      <c r="A32" s="2" t="s">
        <v>95</v>
      </c>
      <c r="B32" s="2" t="s">
        <v>96</v>
      </c>
      <c r="C32" s="2" t="s">
        <v>68</v>
      </c>
      <c r="D32" s="2" t="s">
        <v>13</v>
      </c>
      <c r="E32" s="2">
        <v>237.43</v>
      </c>
      <c r="F32" s="2">
        <v>23.74</v>
      </c>
      <c r="G32" s="2">
        <v>213.69</v>
      </c>
      <c r="H32" s="2" t="s">
        <v>35</v>
      </c>
    </row>
    <row r="33" spans="1:8" ht="16.8" x14ac:dyDescent="0.4">
      <c r="A33" s="2" t="s">
        <v>97</v>
      </c>
      <c r="B33" s="2" t="s">
        <v>98</v>
      </c>
      <c r="C33" s="2" t="s">
        <v>68</v>
      </c>
      <c r="D33" s="2" t="s">
        <v>14</v>
      </c>
      <c r="E33" s="2">
        <v>244.47</v>
      </c>
      <c r="F33" s="2">
        <v>0</v>
      </c>
      <c r="G33" s="2">
        <v>244.47</v>
      </c>
      <c r="H33" s="2" t="s">
        <v>35</v>
      </c>
    </row>
    <row r="34" spans="1:8" ht="16.8" x14ac:dyDescent="0.4">
      <c r="A34" s="2" t="s">
        <v>99</v>
      </c>
      <c r="B34" s="2" t="s">
        <v>100</v>
      </c>
      <c r="C34" s="2" t="s">
        <v>101</v>
      </c>
      <c r="D34" s="2" t="s">
        <v>14</v>
      </c>
      <c r="E34" s="2">
        <v>99.62</v>
      </c>
      <c r="F34" s="2">
        <v>9.9600000000000009</v>
      </c>
      <c r="G34" s="2">
        <v>89.66</v>
      </c>
      <c r="H34" s="2" t="s">
        <v>35</v>
      </c>
    </row>
    <row r="35" spans="1:8" ht="16.8" x14ac:dyDescent="0.4">
      <c r="A35" s="2" t="s">
        <v>102</v>
      </c>
      <c r="B35" s="2" t="s">
        <v>103</v>
      </c>
      <c r="C35" s="2" t="s">
        <v>101</v>
      </c>
      <c r="D35" s="2" t="s">
        <v>11</v>
      </c>
      <c r="E35" s="2">
        <v>104.13</v>
      </c>
      <c r="F35" s="2">
        <v>10.41</v>
      </c>
      <c r="G35" s="2">
        <v>93.72</v>
      </c>
      <c r="H35" s="2" t="s">
        <v>35</v>
      </c>
    </row>
    <row r="36" spans="1:8" ht="16.8" x14ac:dyDescent="0.4">
      <c r="A36" s="2" t="s">
        <v>104</v>
      </c>
      <c r="B36" s="2" t="s">
        <v>105</v>
      </c>
      <c r="C36" s="2" t="s">
        <v>101</v>
      </c>
      <c r="D36" s="2" t="s">
        <v>13</v>
      </c>
      <c r="E36" s="2">
        <v>141.97999999999999</v>
      </c>
      <c r="F36" s="2">
        <v>0</v>
      </c>
      <c r="G36" s="2">
        <v>141.97999999999999</v>
      </c>
      <c r="H36" s="2" t="s">
        <v>35</v>
      </c>
    </row>
    <row r="37" spans="1:8" ht="16.8" x14ac:dyDescent="0.4">
      <c r="A37" s="2" t="s">
        <v>106</v>
      </c>
      <c r="B37" s="2" t="s">
        <v>107</v>
      </c>
      <c r="C37" s="2" t="s">
        <v>101</v>
      </c>
      <c r="D37" s="2" t="s">
        <v>15</v>
      </c>
      <c r="E37" s="2">
        <v>134.16999999999999</v>
      </c>
      <c r="F37" s="2">
        <v>13.42</v>
      </c>
      <c r="G37" s="2">
        <v>120.75</v>
      </c>
      <c r="H37" s="2" t="s">
        <v>35</v>
      </c>
    </row>
    <row r="38" spans="1:8" ht="16.8" x14ac:dyDescent="0.4">
      <c r="A38" s="2" t="s">
        <v>108</v>
      </c>
      <c r="B38" s="2" t="s">
        <v>109</v>
      </c>
      <c r="C38" s="2" t="s">
        <v>101</v>
      </c>
      <c r="D38" s="2" t="s">
        <v>13</v>
      </c>
      <c r="E38" s="2">
        <v>248.84</v>
      </c>
      <c r="F38" s="2">
        <v>24.88</v>
      </c>
      <c r="G38" s="2">
        <v>223.96</v>
      </c>
      <c r="H38" s="2" t="s">
        <v>35</v>
      </c>
    </row>
    <row r="39" spans="1:8" ht="16.8" x14ac:dyDescent="0.4">
      <c r="A39" s="2" t="s">
        <v>110</v>
      </c>
      <c r="B39" s="2" t="s">
        <v>111</v>
      </c>
      <c r="C39" s="2" t="s">
        <v>101</v>
      </c>
      <c r="D39" s="2" t="s">
        <v>15</v>
      </c>
      <c r="E39" s="2">
        <v>76.94</v>
      </c>
      <c r="F39" s="2">
        <v>7.69</v>
      </c>
      <c r="G39" s="2">
        <v>69.25</v>
      </c>
      <c r="H39" s="2" t="s">
        <v>35</v>
      </c>
    </row>
    <row r="40" spans="1:8" ht="16.8" x14ac:dyDescent="0.4">
      <c r="A40" s="2" t="s">
        <v>112</v>
      </c>
      <c r="B40" s="2" t="s">
        <v>113</v>
      </c>
      <c r="C40" s="2" t="s">
        <v>101</v>
      </c>
      <c r="D40" s="2" t="s">
        <v>11</v>
      </c>
      <c r="E40" s="2">
        <v>43.8</v>
      </c>
      <c r="F40" s="2">
        <v>0</v>
      </c>
      <c r="G40" s="2">
        <v>43.8</v>
      </c>
      <c r="H40" s="2" t="s">
        <v>35</v>
      </c>
    </row>
    <row r="41" spans="1:8" ht="16.8" x14ac:dyDescent="0.4">
      <c r="A41" s="2" t="s">
        <v>114</v>
      </c>
      <c r="B41" s="2" t="s">
        <v>115</v>
      </c>
      <c r="C41" s="2" t="s">
        <v>101</v>
      </c>
      <c r="D41" s="2" t="s">
        <v>12</v>
      </c>
      <c r="E41" s="2">
        <v>143.72</v>
      </c>
      <c r="F41" s="2">
        <v>0</v>
      </c>
      <c r="G41" s="2">
        <v>143.72</v>
      </c>
      <c r="H41" s="2" t="s">
        <v>35</v>
      </c>
    </row>
    <row r="42" spans="1:8" ht="16.8" x14ac:dyDescent="0.4">
      <c r="A42" s="2" t="s">
        <v>116</v>
      </c>
      <c r="B42" s="2" t="s">
        <v>117</v>
      </c>
      <c r="C42" s="2" t="s">
        <v>101</v>
      </c>
      <c r="D42" s="2" t="s">
        <v>14</v>
      </c>
      <c r="E42" s="2">
        <v>77.55</v>
      </c>
      <c r="F42" s="2">
        <v>0</v>
      </c>
      <c r="G42" s="2">
        <v>77.55</v>
      </c>
      <c r="H42" s="2" t="s">
        <v>35</v>
      </c>
    </row>
    <row r="43" spans="1:8" ht="16.8" x14ac:dyDescent="0.4">
      <c r="A43" s="2" t="s">
        <v>118</v>
      </c>
      <c r="B43" s="2" t="s">
        <v>119</v>
      </c>
      <c r="C43" s="2" t="s">
        <v>101</v>
      </c>
      <c r="D43" s="2" t="s">
        <v>11</v>
      </c>
      <c r="E43" s="2">
        <v>116.96</v>
      </c>
      <c r="F43" s="2">
        <v>11.7</v>
      </c>
      <c r="G43" s="2">
        <v>105.26</v>
      </c>
      <c r="H43" s="2" t="s">
        <v>35</v>
      </c>
    </row>
    <row r="44" spans="1:8" ht="16.8" x14ac:dyDescent="0.4">
      <c r="A44" s="2" t="s">
        <v>120</v>
      </c>
      <c r="B44" s="2" t="s">
        <v>121</v>
      </c>
      <c r="C44" s="2" t="s">
        <v>101</v>
      </c>
      <c r="D44" s="2" t="s">
        <v>14</v>
      </c>
      <c r="E44" s="2">
        <v>196.28</v>
      </c>
      <c r="F44" s="2">
        <v>0</v>
      </c>
      <c r="G44" s="2">
        <v>196.28</v>
      </c>
      <c r="H44" s="2" t="s">
        <v>35</v>
      </c>
    </row>
    <row r="45" spans="1:8" ht="16.8" x14ac:dyDescent="0.4">
      <c r="A45" s="2" t="s">
        <v>122</v>
      </c>
      <c r="B45" s="2" t="s">
        <v>123</v>
      </c>
      <c r="C45" s="2" t="s">
        <v>101</v>
      </c>
      <c r="D45" s="2" t="s">
        <v>12</v>
      </c>
      <c r="E45" s="2">
        <v>191.4</v>
      </c>
      <c r="F45" s="2">
        <v>0</v>
      </c>
      <c r="G45" s="2">
        <v>191.4</v>
      </c>
      <c r="H45" s="2" t="s">
        <v>35</v>
      </c>
    </row>
    <row r="46" spans="1:8" ht="16.8" x14ac:dyDescent="0.4">
      <c r="A46" s="2" t="s">
        <v>124</v>
      </c>
      <c r="B46" s="2" t="s">
        <v>125</v>
      </c>
      <c r="C46" s="2" t="s">
        <v>101</v>
      </c>
      <c r="D46" s="2" t="s">
        <v>12</v>
      </c>
      <c r="E46" s="2">
        <v>104.69</v>
      </c>
      <c r="F46" s="2">
        <v>0</v>
      </c>
      <c r="G46" s="2">
        <v>104.69</v>
      </c>
      <c r="H46" s="2" t="s">
        <v>35</v>
      </c>
    </row>
    <row r="47" spans="1:8" ht="16.8" x14ac:dyDescent="0.4">
      <c r="A47" s="2" t="s">
        <v>126</v>
      </c>
      <c r="B47" s="2" t="s">
        <v>127</v>
      </c>
      <c r="C47" s="2" t="s">
        <v>101</v>
      </c>
      <c r="D47" s="2" t="s">
        <v>11</v>
      </c>
      <c r="E47" s="2">
        <v>153.93</v>
      </c>
      <c r="F47" s="2">
        <v>0</v>
      </c>
      <c r="G47" s="2">
        <v>153.93</v>
      </c>
      <c r="H47" s="2" t="s">
        <v>35</v>
      </c>
    </row>
    <row r="48" spans="1:8" ht="16.8" x14ac:dyDescent="0.4">
      <c r="A48" s="2" t="s">
        <v>128</v>
      </c>
      <c r="B48" s="2" t="s">
        <v>129</v>
      </c>
      <c r="C48" s="2" t="s">
        <v>101</v>
      </c>
      <c r="D48" s="2" t="s">
        <v>12</v>
      </c>
      <c r="E48" s="2">
        <v>146.85</v>
      </c>
      <c r="F48" s="2">
        <v>14.68</v>
      </c>
      <c r="G48" s="2">
        <v>132.16999999999999</v>
      </c>
      <c r="H48" s="2" t="s">
        <v>35</v>
      </c>
    </row>
    <row r="49" spans="1:8" ht="16.8" x14ac:dyDescent="0.4">
      <c r="A49" s="2" t="s">
        <v>130</v>
      </c>
      <c r="B49" s="2" t="s">
        <v>131</v>
      </c>
      <c r="C49" s="2" t="s">
        <v>132</v>
      </c>
      <c r="D49" s="2" t="s">
        <v>15</v>
      </c>
      <c r="E49" s="2">
        <v>173.63</v>
      </c>
      <c r="F49" s="2">
        <v>17.36</v>
      </c>
      <c r="G49" s="2">
        <v>156.27000000000001</v>
      </c>
      <c r="H49" s="2" t="s">
        <v>35</v>
      </c>
    </row>
    <row r="50" spans="1:8" ht="16.8" x14ac:dyDescent="0.4">
      <c r="A50" s="2" t="s">
        <v>133</v>
      </c>
      <c r="B50" s="2" t="s">
        <v>134</v>
      </c>
      <c r="C50" s="2" t="s">
        <v>132</v>
      </c>
      <c r="D50" s="2" t="s">
        <v>12</v>
      </c>
      <c r="E50" s="2">
        <v>92.6</v>
      </c>
      <c r="F50" s="2">
        <v>0</v>
      </c>
      <c r="G50" s="2">
        <v>92.6</v>
      </c>
      <c r="H50" s="2" t="s">
        <v>35</v>
      </c>
    </row>
    <row r="51" spans="1:8" ht="16.8" x14ac:dyDescent="0.4">
      <c r="A51" s="2" t="s">
        <v>135</v>
      </c>
      <c r="B51" s="2" t="s">
        <v>136</v>
      </c>
      <c r="C51" s="2" t="s">
        <v>132</v>
      </c>
      <c r="D51" s="2" t="s">
        <v>14</v>
      </c>
      <c r="E51" s="2">
        <v>163.87</v>
      </c>
      <c r="F51" s="2">
        <v>16.39</v>
      </c>
      <c r="G51" s="2">
        <v>147.47999999999999</v>
      </c>
      <c r="H51" s="2" t="s">
        <v>35</v>
      </c>
    </row>
    <row r="52" spans="1:8" ht="16.8" x14ac:dyDescent="0.4">
      <c r="A52" s="2" t="s">
        <v>137</v>
      </c>
      <c r="B52" s="2" t="s">
        <v>138</v>
      </c>
      <c r="C52" s="2" t="s">
        <v>132</v>
      </c>
      <c r="D52" s="2" t="s">
        <v>14</v>
      </c>
      <c r="E52" s="2">
        <v>245.57</v>
      </c>
      <c r="F52" s="2">
        <v>0</v>
      </c>
      <c r="G52" s="2">
        <v>245.57</v>
      </c>
      <c r="H52" s="2" t="s">
        <v>35</v>
      </c>
    </row>
    <row r="53" spans="1:8" ht="16.8" x14ac:dyDescent="0.4">
      <c r="A53" s="2" t="s">
        <v>139</v>
      </c>
      <c r="B53" s="2" t="s">
        <v>140</v>
      </c>
      <c r="C53" s="2" t="s">
        <v>132</v>
      </c>
      <c r="D53" s="2" t="s">
        <v>14</v>
      </c>
      <c r="E53" s="2">
        <v>142.22</v>
      </c>
      <c r="F53" s="2">
        <v>0</v>
      </c>
      <c r="G53" s="2">
        <v>142.22</v>
      </c>
      <c r="H53" s="2" t="s">
        <v>35</v>
      </c>
    </row>
    <row r="54" spans="1:8" ht="16.8" x14ac:dyDescent="0.4">
      <c r="A54" s="2" t="s">
        <v>141</v>
      </c>
      <c r="B54" s="2" t="s">
        <v>142</v>
      </c>
      <c r="C54" s="2" t="s">
        <v>132</v>
      </c>
      <c r="D54" s="2" t="s">
        <v>14</v>
      </c>
      <c r="E54" s="2">
        <v>230.28</v>
      </c>
      <c r="F54" s="2">
        <v>23.03</v>
      </c>
      <c r="G54" s="2">
        <v>207.25</v>
      </c>
      <c r="H54" s="2" t="s">
        <v>35</v>
      </c>
    </row>
    <row r="55" spans="1:8" ht="16.8" x14ac:dyDescent="0.4">
      <c r="A55" s="2" t="s">
        <v>143</v>
      </c>
      <c r="B55" s="2" t="s">
        <v>144</v>
      </c>
      <c r="C55" s="2" t="s">
        <v>132</v>
      </c>
      <c r="D55" s="2" t="s">
        <v>15</v>
      </c>
      <c r="E55" s="2">
        <v>131.22</v>
      </c>
      <c r="F55" s="2">
        <v>0</v>
      </c>
      <c r="G55" s="2">
        <v>131.22</v>
      </c>
      <c r="H55" s="2" t="s">
        <v>35</v>
      </c>
    </row>
    <row r="56" spans="1:8" ht="16.8" x14ac:dyDescent="0.4">
      <c r="A56" s="2" t="s">
        <v>145</v>
      </c>
      <c r="B56" s="2" t="s">
        <v>146</v>
      </c>
      <c r="C56" s="2" t="s">
        <v>132</v>
      </c>
      <c r="D56" s="2" t="s">
        <v>13</v>
      </c>
      <c r="E56" s="2">
        <v>113.52</v>
      </c>
      <c r="F56" s="2">
        <v>0</v>
      </c>
      <c r="G56" s="2">
        <v>113.52</v>
      </c>
      <c r="H56" s="2" t="s">
        <v>35</v>
      </c>
    </row>
    <row r="57" spans="1:8" ht="16.8" x14ac:dyDescent="0.4">
      <c r="A57" s="2" t="s">
        <v>147</v>
      </c>
      <c r="B57" s="2" t="s">
        <v>148</v>
      </c>
      <c r="C57" s="2" t="s">
        <v>132</v>
      </c>
      <c r="D57" s="2" t="s">
        <v>11</v>
      </c>
      <c r="E57" s="2">
        <v>175.47</v>
      </c>
      <c r="F57" s="2">
        <v>17.55</v>
      </c>
      <c r="G57" s="2">
        <v>157.91999999999999</v>
      </c>
      <c r="H57" s="2" t="s">
        <v>35</v>
      </c>
    </row>
    <row r="58" spans="1:8" ht="16.8" x14ac:dyDescent="0.4">
      <c r="A58" s="2" t="s">
        <v>149</v>
      </c>
      <c r="B58" s="2" t="s">
        <v>150</v>
      </c>
      <c r="C58" s="2" t="s">
        <v>132</v>
      </c>
      <c r="D58" s="2" t="s">
        <v>14</v>
      </c>
      <c r="E58" s="2">
        <v>180.47</v>
      </c>
      <c r="F58" s="2">
        <v>0</v>
      </c>
      <c r="G58" s="2">
        <v>180.47</v>
      </c>
      <c r="H58" s="2" t="s">
        <v>35</v>
      </c>
    </row>
    <row r="59" spans="1:8" ht="16.8" x14ac:dyDescent="0.4">
      <c r="A59" s="2" t="s">
        <v>151</v>
      </c>
      <c r="B59" s="2" t="s">
        <v>152</v>
      </c>
      <c r="C59" s="2" t="s">
        <v>132</v>
      </c>
      <c r="D59" s="2" t="s">
        <v>12</v>
      </c>
      <c r="E59" s="2">
        <v>221.48</v>
      </c>
      <c r="F59" s="2">
        <v>0</v>
      </c>
      <c r="G59" s="2">
        <v>221.48</v>
      </c>
      <c r="H59" s="2" t="s">
        <v>35</v>
      </c>
    </row>
    <row r="60" spans="1:8" ht="16.8" x14ac:dyDescent="0.4">
      <c r="A60" s="2" t="s">
        <v>153</v>
      </c>
      <c r="B60" s="2" t="s">
        <v>154</v>
      </c>
      <c r="C60" s="2" t="s">
        <v>132</v>
      </c>
      <c r="D60" s="2" t="s">
        <v>14</v>
      </c>
      <c r="E60" s="2">
        <v>88.34</v>
      </c>
      <c r="F60" s="2">
        <v>0</v>
      </c>
      <c r="G60" s="2">
        <v>88.34</v>
      </c>
      <c r="H60" s="2" t="s">
        <v>35</v>
      </c>
    </row>
    <row r="61" spans="1:8" ht="16.8" x14ac:dyDescent="0.4">
      <c r="A61" s="2" t="s">
        <v>155</v>
      </c>
      <c r="B61" s="2" t="s">
        <v>156</v>
      </c>
      <c r="C61" s="2" t="s">
        <v>132</v>
      </c>
      <c r="D61" s="2" t="s">
        <v>12</v>
      </c>
      <c r="E61" s="2">
        <v>144.83000000000001</v>
      </c>
      <c r="F61" s="2">
        <v>0</v>
      </c>
      <c r="G61" s="2">
        <v>144.83000000000001</v>
      </c>
      <c r="H61" s="2" t="s">
        <v>35</v>
      </c>
    </row>
    <row r="62" spans="1:8" ht="16.8" x14ac:dyDescent="0.4">
      <c r="A62" s="2" t="s">
        <v>157</v>
      </c>
      <c r="B62" s="2" t="s">
        <v>158</v>
      </c>
      <c r="C62" s="2" t="s">
        <v>132</v>
      </c>
      <c r="D62" s="2" t="s">
        <v>12</v>
      </c>
      <c r="E62" s="2">
        <v>160.12</v>
      </c>
      <c r="F62" s="2">
        <v>0</v>
      </c>
      <c r="G62" s="2">
        <v>160.12</v>
      </c>
      <c r="H62" s="2" t="s">
        <v>35</v>
      </c>
    </row>
    <row r="63" spans="1:8" ht="16.8" x14ac:dyDescent="0.4">
      <c r="A63" s="2" t="s">
        <v>159</v>
      </c>
      <c r="B63" s="2" t="s">
        <v>160</v>
      </c>
      <c r="C63" s="2" t="s">
        <v>132</v>
      </c>
      <c r="D63" s="2" t="s">
        <v>14</v>
      </c>
      <c r="E63" s="2">
        <v>201.4</v>
      </c>
      <c r="F63" s="2">
        <v>0</v>
      </c>
      <c r="G63" s="2">
        <v>201.4</v>
      </c>
      <c r="H63" s="2" t="s">
        <v>35</v>
      </c>
    </row>
    <row r="64" spans="1:8" ht="16.8" x14ac:dyDescent="0.4">
      <c r="A64" s="2" t="s">
        <v>161</v>
      </c>
      <c r="B64" s="2" t="s">
        <v>162</v>
      </c>
      <c r="C64" s="2" t="s">
        <v>132</v>
      </c>
      <c r="D64" s="2" t="s">
        <v>15</v>
      </c>
      <c r="E64" s="2">
        <v>49.16</v>
      </c>
      <c r="F64" s="2">
        <v>4.92</v>
      </c>
      <c r="G64" s="2">
        <v>44.239999999999988</v>
      </c>
      <c r="H64" s="2" t="s">
        <v>35</v>
      </c>
    </row>
    <row r="65" spans="1:8" ht="16.8" x14ac:dyDescent="0.4">
      <c r="A65" s="2" t="s">
        <v>163</v>
      </c>
      <c r="B65" s="2" t="s">
        <v>164</v>
      </c>
      <c r="C65" s="2" t="s">
        <v>165</v>
      </c>
      <c r="D65" s="2" t="s">
        <v>12</v>
      </c>
      <c r="E65" s="2">
        <v>248.86</v>
      </c>
      <c r="F65" s="2">
        <v>24.89</v>
      </c>
      <c r="G65" s="2">
        <v>223.97</v>
      </c>
      <c r="H65" s="2" t="s">
        <v>35</v>
      </c>
    </row>
    <row r="66" spans="1:8" ht="16.8" x14ac:dyDescent="0.4">
      <c r="A66" s="2" t="s">
        <v>166</v>
      </c>
      <c r="B66" s="2" t="s">
        <v>167</v>
      </c>
      <c r="C66" s="2" t="s">
        <v>165</v>
      </c>
      <c r="D66" s="2" t="s">
        <v>12</v>
      </c>
      <c r="E66" s="2">
        <v>138.69</v>
      </c>
      <c r="F66" s="2">
        <v>13.87</v>
      </c>
      <c r="G66" s="2">
        <v>124.82</v>
      </c>
      <c r="H66" s="2" t="s">
        <v>35</v>
      </c>
    </row>
    <row r="67" spans="1:8" ht="16.8" x14ac:dyDescent="0.4">
      <c r="A67" s="2" t="s">
        <v>168</v>
      </c>
      <c r="B67" s="2" t="s">
        <v>169</v>
      </c>
      <c r="C67" s="2" t="s">
        <v>165</v>
      </c>
      <c r="D67" s="2" t="s">
        <v>14</v>
      </c>
      <c r="E67" s="2">
        <v>98.71</v>
      </c>
      <c r="F67" s="2">
        <v>9.8699999999999992</v>
      </c>
      <c r="G67" s="2">
        <v>88.839999999999989</v>
      </c>
      <c r="H67" s="2" t="s">
        <v>35</v>
      </c>
    </row>
    <row r="68" spans="1:8" ht="16.8" x14ac:dyDescent="0.4">
      <c r="A68" s="2" t="s">
        <v>170</v>
      </c>
      <c r="B68" s="2" t="s">
        <v>171</v>
      </c>
      <c r="C68" s="2" t="s">
        <v>165</v>
      </c>
      <c r="D68" s="2" t="s">
        <v>12</v>
      </c>
      <c r="E68" s="2">
        <v>225.53</v>
      </c>
      <c r="F68" s="2">
        <v>0</v>
      </c>
      <c r="G68" s="2">
        <v>225.53</v>
      </c>
      <c r="H68" s="2" t="s">
        <v>35</v>
      </c>
    </row>
    <row r="69" spans="1:8" ht="16.8" x14ac:dyDescent="0.4">
      <c r="A69" s="2" t="s">
        <v>172</v>
      </c>
      <c r="B69" s="2" t="s">
        <v>173</v>
      </c>
      <c r="C69" s="2" t="s">
        <v>165</v>
      </c>
      <c r="D69" s="2" t="s">
        <v>12</v>
      </c>
      <c r="E69" s="2">
        <v>197.02</v>
      </c>
      <c r="F69" s="2">
        <v>0</v>
      </c>
      <c r="G69" s="2">
        <v>197.02</v>
      </c>
      <c r="H69" s="2" t="s">
        <v>35</v>
      </c>
    </row>
    <row r="70" spans="1:8" ht="16.8" x14ac:dyDescent="0.4">
      <c r="A70" s="2" t="s">
        <v>174</v>
      </c>
      <c r="B70" s="2" t="s">
        <v>175</v>
      </c>
      <c r="C70" s="2" t="s">
        <v>165</v>
      </c>
      <c r="D70" s="2" t="s">
        <v>14</v>
      </c>
      <c r="E70" s="2">
        <v>240.15</v>
      </c>
      <c r="F70" s="2">
        <v>0</v>
      </c>
      <c r="G70" s="2">
        <v>240.15</v>
      </c>
      <c r="H70" s="2" t="s">
        <v>35</v>
      </c>
    </row>
    <row r="71" spans="1:8" ht="16.8" x14ac:dyDescent="0.4">
      <c r="A71" s="2" t="s">
        <v>176</v>
      </c>
      <c r="B71" s="2" t="s">
        <v>177</v>
      </c>
      <c r="C71" s="2" t="s">
        <v>165</v>
      </c>
      <c r="D71" s="2" t="s">
        <v>14</v>
      </c>
      <c r="E71" s="2">
        <v>109.46</v>
      </c>
      <c r="F71" s="2">
        <v>0</v>
      </c>
      <c r="G71" s="2">
        <v>109.46</v>
      </c>
      <c r="H71" s="2" t="s">
        <v>35</v>
      </c>
    </row>
    <row r="72" spans="1:8" ht="16.8" x14ac:dyDescent="0.4">
      <c r="A72" s="2" t="s">
        <v>178</v>
      </c>
      <c r="B72" s="2" t="s">
        <v>179</v>
      </c>
      <c r="C72" s="2" t="s">
        <v>165</v>
      </c>
      <c r="D72" s="2" t="s">
        <v>11</v>
      </c>
      <c r="E72" s="2">
        <v>156.08000000000001</v>
      </c>
      <c r="F72" s="2">
        <v>0</v>
      </c>
      <c r="G72" s="2">
        <v>156.08000000000001</v>
      </c>
      <c r="H72" s="2" t="s">
        <v>35</v>
      </c>
    </row>
    <row r="73" spans="1:8" ht="16.8" x14ac:dyDescent="0.4">
      <c r="A73" s="2" t="s">
        <v>180</v>
      </c>
      <c r="B73" s="2" t="s">
        <v>181</v>
      </c>
      <c r="C73" s="2" t="s">
        <v>165</v>
      </c>
      <c r="D73" s="2" t="s">
        <v>15</v>
      </c>
      <c r="E73" s="2">
        <v>160.18</v>
      </c>
      <c r="F73" s="2">
        <v>0</v>
      </c>
      <c r="G73" s="2">
        <v>160.18</v>
      </c>
      <c r="H73" s="2" t="s">
        <v>35</v>
      </c>
    </row>
    <row r="74" spans="1:8" ht="16.8" x14ac:dyDescent="0.4">
      <c r="A74" s="2" t="s">
        <v>182</v>
      </c>
      <c r="B74" s="2" t="s">
        <v>183</v>
      </c>
      <c r="C74" s="2" t="s">
        <v>165</v>
      </c>
      <c r="D74" s="2" t="s">
        <v>15</v>
      </c>
      <c r="E74" s="2">
        <v>245.87</v>
      </c>
      <c r="F74" s="2">
        <v>0</v>
      </c>
      <c r="G74" s="2">
        <v>245.87</v>
      </c>
      <c r="H74" s="2" t="s">
        <v>35</v>
      </c>
    </row>
    <row r="75" spans="1:8" ht="16.8" x14ac:dyDescent="0.4">
      <c r="A75" s="2" t="s">
        <v>184</v>
      </c>
      <c r="B75" s="2" t="s">
        <v>185</v>
      </c>
      <c r="C75" s="2" t="s">
        <v>165</v>
      </c>
      <c r="D75" s="2" t="s">
        <v>12</v>
      </c>
      <c r="E75" s="2">
        <v>55.82</v>
      </c>
      <c r="F75" s="2">
        <v>5.58</v>
      </c>
      <c r="G75" s="2">
        <v>50.24</v>
      </c>
      <c r="H75" s="2" t="s">
        <v>35</v>
      </c>
    </row>
    <row r="76" spans="1:8" ht="16.8" x14ac:dyDescent="0.4">
      <c r="A76" s="2" t="s">
        <v>186</v>
      </c>
      <c r="B76" s="2" t="s">
        <v>187</v>
      </c>
      <c r="C76" s="2" t="s">
        <v>165</v>
      </c>
      <c r="D76" s="2" t="s">
        <v>15</v>
      </c>
      <c r="E76" s="2">
        <v>104.2</v>
      </c>
      <c r="F76" s="2">
        <v>10.42</v>
      </c>
      <c r="G76" s="2">
        <v>93.78</v>
      </c>
      <c r="H76" s="2" t="s">
        <v>35</v>
      </c>
    </row>
    <row r="77" spans="1:8" ht="16.8" x14ac:dyDescent="0.4">
      <c r="A77" s="2" t="s">
        <v>188</v>
      </c>
      <c r="B77" s="2" t="s">
        <v>189</v>
      </c>
      <c r="C77" s="2" t="s">
        <v>165</v>
      </c>
      <c r="D77" s="2" t="s">
        <v>12</v>
      </c>
      <c r="E77" s="2">
        <v>80.09</v>
      </c>
      <c r="F77" s="2">
        <v>0</v>
      </c>
      <c r="G77" s="2">
        <v>80.09</v>
      </c>
      <c r="H77" s="2" t="s">
        <v>35</v>
      </c>
    </row>
    <row r="78" spans="1:8" ht="16.8" x14ac:dyDescent="0.4">
      <c r="A78" s="2" t="s">
        <v>190</v>
      </c>
      <c r="B78" s="2" t="s">
        <v>191</v>
      </c>
      <c r="C78" s="2" t="s">
        <v>165</v>
      </c>
      <c r="D78" s="2" t="s">
        <v>11</v>
      </c>
      <c r="E78" s="2">
        <v>96.38</v>
      </c>
      <c r="F78" s="2">
        <v>0</v>
      </c>
      <c r="G78" s="2">
        <v>96.38</v>
      </c>
      <c r="H78" s="2" t="s">
        <v>35</v>
      </c>
    </row>
    <row r="79" spans="1:8" ht="16.8" x14ac:dyDescent="0.4">
      <c r="A79" s="2" t="s">
        <v>192</v>
      </c>
      <c r="B79" s="2" t="s">
        <v>193</v>
      </c>
      <c r="C79" s="2" t="s">
        <v>165</v>
      </c>
      <c r="D79" s="2" t="s">
        <v>14</v>
      </c>
      <c r="E79" s="2">
        <v>141.91</v>
      </c>
      <c r="F79" s="2">
        <v>0</v>
      </c>
      <c r="G79" s="2">
        <v>141.91</v>
      </c>
      <c r="H79" s="2" t="s">
        <v>35</v>
      </c>
    </row>
    <row r="80" spans="1:8" ht="16.8" x14ac:dyDescent="0.4">
      <c r="A80" s="2" t="s">
        <v>194</v>
      </c>
      <c r="B80" s="2" t="s">
        <v>195</v>
      </c>
      <c r="C80" s="2" t="s">
        <v>165</v>
      </c>
      <c r="D80" s="2" t="s">
        <v>14</v>
      </c>
      <c r="E80" s="2">
        <v>118.26</v>
      </c>
      <c r="F80" s="2">
        <v>11.83</v>
      </c>
      <c r="G80" s="2">
        <v>106.43</v>
      </c>
      <c r="H80" s="2" t="s">
        <v>35</v>
      </c>
    </row>
    <row r="81" spans="1:8" ht="16.8" x14ac:dyDescent="0.4">
      <c r="A81" s="2" t="s">
        <v>196</v>
      </c>
      <c r="B81" s="2" t="s">
        <v>197</v>
      </c>
      <c r="C81" s="2" t="s">
        <v>198</v>
      </c>
      <c r="D81" s="2" t="s">
        <v>14</v>
      </c>
      <c r="E81" s="2">
        <v>122.89</v>
      </c>
      <c r="F81" s="2">
        <v>12.29</v>
      </c>
      <c r="G81" s="2">
        <v>110.6</v>
      </c>
      <c r="H81" s="2" t="s">
        <v>35</v>
      </c>
    </row>
    <row r="82" spans="1:8" ht="16.8" x14ac:dyDescent="0.4">
      <c r="A82" s="2" t="s">
        <v>199</v>
      </c>
      <c r="B82" s="2" t="s">
        <v>200</v>
      </c>
      <c r="C82" s="2" t="s">
        <v>198</v>
      </c>
      <c r="D82" s="2" t="s">
        <v>15</v>
      </c>
      <c r="E82" s="2">
        <v>217.28</v>
      </c>
      <c r="F82" s="2">
        <v>0</v>
      </c>
      <c r="G82" s="2">
        <v>217.28</v>
      </c>
      <c r="H82" s="2" t="s">
        <v>35</v>
      </c>
    </row>
    <row r="83" spans="1:8" ht="16.8" x14ac:dyDescent="0.4">
      <c r="A83" s="2" t="s">
        <v>201</v>
      </c>
      <c r="B83" s="2" t="s">
        <v>202</v>
      </c>
      <c r="C83" s="2" t="s">
        <v>198</v>
      </c>
      <c r="D83" s="2" t="s">
        <v>11</v>
      </c>
      <c r="E83" s="2">
        <v>235.3</v>
      </c>
      <c r="F83" s="2">
        <v>0</v>
      </c>
      <c r="G83" s="2">
        <v>235.3</v>
      </c>
      <c r="H83" s="2" t="s">
        <v>35</v>
      </c>
    </row>
    <row r="84" spans="1:8" ht="16.8" x14ac:dyDescent="0.4">
      <c r="A84" s="2" t="s">
        <v>203</v>
      </c>
      <c r="B84" s="2" t="s">
        <v>204</v>
      </c>
      <c r="C84" s="2" t="s">
        <v>198</v>
      </c>
      <c r="D84" s="2" t="s">
        <v>15</v>
      </c>
      <c r="E84" s="2">
        <v>54.79</v>
      </c>
      <c r="F84" s="2">
        <v>0</v>
      </c>
      <c r="G84" s="2">
        <v>54.79</v>
      </c>
      <c r="H84" s="2" t="s">
        <v>35</v>
      </c>
    </row>
    <row r="85" spans="1:8" ht="16.8" x14ac:dyDescent="0.4">
      <c r="A85" s="2" t="s">
        <v>205</v>
      </c>
      <c r="B85" s="2" t="s">
        <v>206</v>
      </c>
      <c r="C85" s="2" t="s">
        <v>198</v>
      </c>
      <c r="D85" s="2" t="s">
        <v>15</v>
      </c>
      <c r="E85" s="2">
        <v>83.87</v>
      </c>
      <c r="F85" s="2">
        <v>0</v>
      </c>
      <c r="G85" s="2">
        <v>83.87</v>
      </c>
      <c r="H85" s="2" t="s">
        <v>35</v>
      </c>
    </row>
    <row r="86" spans="1:8" ht="16.8" x14ac:dyDescent="0.4">
      <c r="A86" s="2" t="s">
        <v>207</v>
      </c>
      <c r="B86" s="2" t="s">
        <v>208</v>
      </c>
      <c r="C86" s="2" t="s">
        <v>198</v>
      </c>
      <c r="D86" s="2" t="s">
        <v>11</v>
      </c>
      <c r="E86" s="2">
        <v>180.94</v>
      </c>
      <c r="F86" s="2">
        <v>0</v>
      </c>
      <c r="G86" s="2">
        <v>180.94</v>
      </c>
      <c r="H86" s="2" t="s">
        <v>35</v>
      </c>
    </row>
    <row r="87" spans="1:8" ht="16.8" x14ac:dyDescent="0.4">
      <c r="A87" s="2" t="s">
        <v>209</v>
      </c>
      <c r="B87" s="2" t="s">
        <v>210</v>
      </c>
      <c r="C87" s="2" t="s">
        <v>198</v>
      </c>
      <c r="D87" s="2" t="s">
        <v>11</v>
      </c>
      <c r="E87" s="2">
        <v>115.32</v>
      </c>
      <c r="F87" s="2">
        <v>0</v>
      </c>
      <c r="G87" s="2">
        <v>115.32</v>
      </c>
      <c r="H87" s="2" t="s">
        <v>35</v>
      </c>
    </row>
    <row r="88" spans="1:8" ht="16.8" x14ac:dyDescent="0.4">
      <c r="A88" s="2" t="s">
        <v>211</v>
      </c>
      <c r="B88" s="2" t="s">
        <v>212</v>
      </c>
      <c r="C88" s="2" t="s">
        <v>198</v>
      </c>
      <c r="D88" s="2" t="s">
        <v>11</v>
      </c>
      <c r="E88" s="2">
        <v>93.37</v>
      </c>
      <c r="F88" s="2">
        <v>9.34</v>
      </c>
      <c r="G88" s="2">
        <v>84.03</v>
      </c>
      <c r="H88" s="2" t="s">
        <v>35</v>
      </c>
    </row>
    <row r="89" spans="1:8" ht="16.8" x14ac:dyDescent="0.4">
      <c r="A89" s="2" t="s">
        <v>213</v>
      </c>
      <c r="B89" s="2" t="s">
        <v>214</v>
      </c>
      <c r="C89" s="2" t="s">
        <v>198</v>
      </c>
      <c r="D89" s="2" t="s">
        <v>11</v>
      </c>
      <c r="E89" s="2">
        <v>102.01</v>
      </c>
      <c r="F89" s="2">
        <v>0</v>
      </c>
      <c r="G89" s="2">
        <v>102.01</v>
      </c>
      <c r="H89" s="2" t="s">
        <v>35</v>
      </c>
    </row>
    <row r="90" spans="1:8" ht="16.8" x14ac:dyDescent="0.4">
      <c r="A90" s="2" t="s">
        <v>215</v>
      </c>
      <c r="B90" s="2" t="s">
        <v>216</v>
      </c>
      <c r="C90" s="2" t="s">
        <v>198</v>
      </c>
      <c r="D90" s="2" t="s">
        <v>14</v>
      </c>
      <c r="E90" s="2">
        <v>107.74</v>
      </c>
      <c r="F90" s="2">
        <v>0</v>
      </c>
      <c r="G90" s="2">
        <v>107.74</v>
      </c>
      <c r="H90" s="2" t="s">
        <v>35</v>
      </c>
    </row>
    <row r="91" spans="1:8" ht="16.8" x14ac:dyDescent="0.4">
      <c r="A91" s="2" t="s">
        <v>217</v>
      </c>
      <c r="B91" s="2" t="s">
        <v>218</v>
      </c>
      <c r="C91" s="2" t="s">
        <v>198</v>
      </c>
      <c r="D91" s="2" t="s">
        <v>13</v>
      </c>
      <c r="E91" s="2">
        <v>218.22</v>
      </c>
      <c r="F91" s="2">
        <v>21.82</v>
      </c>
      <c r="G91" s="2">
        <v>196.4</v>
      </c>
      <c r="H91" s="2" t="s">
        <v>35</v>
      </c>
    </row>
    <row r="92" spans="1:8" ht="16.8" x14ac:dyDescent="0.4">
      <c r="A92" s="2" t="s">
        <v>219</v>
      </c>
      <c r="B92" s="2" t="s">
        <v>220</v>
      </c>
      <c r="C92" s="2" t="s">
        <v>198</v>
      </c>
      <c r="D92" s="2" t="s">
        <v>13</v>
      </c>
      <c r="E92" s="2">
        <v>68.69</v>
      </c>
      <c r="F92" s="2">
        <v>6.87</v>
      </c>
      <c r="G92" s="2">
        <v>61.82</v>
      </c>
      <c r="H92" s="2" t="s">
        <v>35</v>
      </c>
    </row>
    <row r="93" spans="1:8" ht="16.8" x14ac:dyDescent="0.4">
      <c r="A93" s="2" t="s">
        <v>221</v>
      </c>
      <c r="B93" s="2" t="s">
        <v>222</v>
      </c>
      <c r="C93" s="2" t="s">
        <v>198</v>
      </c>
      <c r="D93" s="2" t="s">
        <v>11</v>
      </c>
      <c r="E93" s="2">
        <v>188.87</v>
      </c>
      <c r="F93" s="2">
        <v>18.89</v>
      </c>
      <c r="G93" s="2">
        <v>169.98</v>
      </c>
      <c r="H93" s="2" t="s">
        <v>35</v>
      </c>
    </row>
    <row r="94" spans="1:8" ht="16.8" x14ac:dyDescent="0.4">
      <c r="A94" s="2" t="s">
        <v>223</v>
      </c>
      <c r="B94" s="2" t="s">
        <v>224</v>
      </c>
      <c r="C94" s="2" t="s">
        <v>198</v>
      </c>
      <c r="D94" s="2" t="s">
        <v>13</v>
      </c>
      <c r="E94" s="2">
        <v>156.09</v>
      </c>
      <c r="F94" s="2">
        <v>0</v>
      </c>
      <c r="G94" s="2">
        <v>156.09</v>
      </c>
      <c r="H94" s="2" t="s">
        <v>35</v>
      </c>
    </row>
    <row r="95" spans="1:8" ht="16.8" x14ac:dyDescent="0.4">
      <c r="A95" s="2" t="s">
        <v>225</v>
      </c>
      <c r="B95" s="2" t="s">
        <v>226</v>
      </c>
      <c r="C95" s="2" t="s">
        <v>198</v>
      </c>
      <c r="D95" s="2" t="s">
        <v>13</v>
      </c>
      <c r="E95" s="2">
        <v>102.27</v>
      </c>
      <c r="F95" s="2">
        <v>0</v>
      </c>
      <c r="G95" s="2">
        <v>102.27</v>
      </c>
      <c r="H95" s="2" t="s">
        <v>35</v>
      </c>
    </row>
    <row r="96" spans="1:8" ht="16.8" x14ac:dyDescent="0.4">
      <c r="A96" s="2" t="s">
        <v>227</v>
      </c>
      <c r="B96" s="2" t="s">
        <v>228</v>
      </c>
      <c r="C96" s="2" t="s">
        <v>229</v>
      </c>
      <c r="D96" s="2" t="s">
        <v>11</v>
      </c>
      <c r="E96" s="2">
        <v>128.15</v>
      </c>
      <c r="F96" s="2">
        <v>0</v>
      </c>
      <c r="G96" s="2">
        <v>128.15</v>
      </c>
      <c r="H96" s="2" t="s">
        <v>35</v>
      </c>
    </row>
    <row r="97" spans="1:8" ht="16.8" x14ac:dyDescent="0.4">
      <c r="A97" s="2" t="s">
        <v>230</v>
      </c>
      <c r="B97" s="2" t="s">
        <v>231</v>
      </c>
      <c r="C97" s="2" t="s">
        <v>229</v>
      </c>
      <c r="D97" s="2" t="s">
        <v>13</v>
      </c>
      <c r="E97" s="2">
        <v>93.8</v>
      </c>
      <c r="F97" s="2">
        <v>0</v>
      </c>
      <c r="G97" s="2">
        <v>93.8</v>
      </c>
      <c r="H97" s="2" t="s">
        <v>35</v>
      </c>
    </row>
    <row r="98" spans="1:8" ht="16.8" x14ac:dyDescent="0.4">
      <c r="A98" s="2" t="s">
        <v>232</v>
      </c>
      <c r="B98" s="2" t="s">
        <v>233</v>
      </c>
      <c r="C98" s="2" t="s">
        <v>229</v>
      </c>
      <c r="D98" s="2" t="s">
        <v>15</v>
      </c>
      <c r="E98" s="2">
        <v>168.42</v>
      </c>
      <c r="F98" s="2">
        <v>0</v>
      </c>
      <c r="G98" s="2">
        <v>168.42</v>
      </c>
      <c r="H98" s="2" t="s">
        <v>35</v>
      </c>
    </row>
    <row r="99" spans="1:8" ht="16.8" x14ac:dyDescent="0.4">
      <c r="A99" s="2" t="s">
        <v>234</v>
      </c>
      <c r="B99" s="2" t="s">
        <v>235</v>
      </c>
      <c r="C99" s="2" t="s">
        <v>229</v>
      </c>
      <c r="D99" s="2" t="s">
        <v>12</v>
      </c>
      <c r="E99" s="2">
        <v>57.13</v>
      </c>
      <c r="F99" s="2">
        <v>0</v>
      </c>
      <c r="G99" s="2">
        <v>57.13</v>
      </c>
      <c r="H99" s="2" t="s">
        <v>35</v>
      </c>
    </row>
    <row r="100" spans="1:8" ht="16.8" x14ac:dyDescent="0.4">
      <c r="A100" s="2" t="s">
        <v>236</v>
      </c>
      <c r="B100" s="2" t="s">
        <v>237</v>
      </c>
      <c r="C100" s="2" t="s">
        <v>229</v>
      </c>
      <c r="D100" s="2" t="s">
        <v>12</v>
      </c>
      <c r="E100" s="2">
        <v>41.09</v>
      </c>
      <c r="F100" s="2">
        <v>0</v>
      </c>
      <c r="G100" s="2">
        <v>41.09</v>
      </c>
      <c r="H100" s="2" t="s">
        <v>35</v>
      </c>
    </row>
    <row r="101" spans="1:8" ht="16.8" x14ac:dyDescent="0.4">
      <c r="A101" s="2" t="s">
        <v>238</v>
      </c>
      <c r="B101" s="2" t="s">
        <v>239</v>
      </c>
      <c r="C101" s="2" t="s">
        <v>229</v>
      </c>
      <c r="D101" s="2" t="s">
        <v>11</v>
      </c>
      <c r="E101" s="2">
        <v>171.86</v>
      </c>
      <c r="F101" s="2">
        <v>0</v>
      </c>
      <c r="G101" s="2">
        <v>171.86</v>
      </c>
      <c r="H101" s="2" t="s">
        <v>35</v>
      </c>
    </row>
    <row r="102" spans="1:8" ht="16.8" x14ac:dyDescent="0.4">
      <c r="A102" s="2" t="s">
        <v>240</v>
      </c>
      <c r="B102" s="2" t="s">
        <v>241</v>
      </c>
      <c r="C102" s="2" t="s">
        <v>229</v>
      </c>
      <c r="D102" s="2" t="s">
        <v>14</v>
      </c>
      <c r="E102" s="2">
        <v>80.8</v>
      </c>
      <c r="F102" s="2">
        <v>0</v>
      </c>
      <c r="G102" s="2">
        <v>80.8</v>
      </c>
      <c r="H102" s="2" t="s">
        <v>35</v>
      </c>
    </row>
    <row r="103" spans="1:8" ht="16.8" x14ac:dyDescent="0.4">
      <c r="A103" s="2" t="s">
        <v>242</v>
      </c>
      <c r="B103" s="2" t="s">
        <v>243</v>
      </c>
      <c r="C103" s="2" t="s">
        <v>229</v>
      </c>
      <c r="D103" s="2" t="s">
        <v>11</v>
      </c>
      <c r="E103" s="2">
        <v>54.9</v>
      </c>
      <c r="F103" s="2">
        <v>0</v>
      </c>
      <c r="G103" s="2">
        <v>54.9</v>
      </c>
      <c r="H103" s="2" t="s">
        <v>35</v>
      </c>
    </row>
    <row r="104" spans="1:8" ht="16.8" x14ac:dyDescent="0.4">
      <c r="A104" s="2" t="s">
        <v>244</v>
      </c>
      <c r="B104" s="2" t="s">
        <v>245</v>
      </c>
      <c r="C104" s="2" t="s">
        <v>229</v>
      </c>
      <c r="D104" s="2" t="s">
        <v>14</v>
      </c>
      <c r="E104" s="2">
        <v>123.32</v>
      </c>
      <c r="F104" s="2">
        <v>0</v>
      </c>
      <c r="G104" s="2">
        <v>123.32</v>
      </c>
      <c r="H104" s="2" t="s">
        <v>35</v>
      </c>
    </row>
    <row r="105" spans="1:8" ht="16.8" x14ac:dyDescent="0.4">
      <c r="A105" s="2" t="s">
        <v>246</v>
      </c>
      <c r="B105" s="2" t="s">
        <v>247</v>
      </c>
      <c r="C105" s="2" t="s">
        <v>229</v>
      </c>
      <c r="D105" s="2" t="s">
        <v>12</v>
      </c>
      <c r="E105" s="2">
        <v>50.66</v>
      </c>
      <c r="F105" s="2">
        <v>0</v>
      </c>
      <c r="G105" s="2">
        <v>50.66</v>
      </c>
      <c r="H105" s="2" t="s">
        <v>35</v>
      </c>
    </row>
    <row r="106" spans="1:8" ht="16.8" x14ac:dyDescent="0.4">
      <c r="A106" s="2" t="s">
        <v>248</v>
      </c>
      <c r="B106" s="2" t="s">
        <v>249</v>
      </c>
      <c r="C106" s="2" t="s">
        <v>229</v>
      </c>
      <c r="D106" s="2" t="s">
        <v>11</v>
      </c>
      <c r="E106" s="2">
        <v>226.19</v>
      </c>
      <c r="F106" s="2">
        <v>0</v>
      </c>
      <c r="G106" s="2">
        <v>226.19</v>
      </c>
      <c r="H106" s="2" t="s">
        <v>35</v>
      </c>
    </row>
    <row r="107" spans="1:8" ht="16.8" x14ac:dyDescent="0.4">
      <c r="A107" s="2" t="s">
        <v>250</v>
      </c>
      <c r="B107" s="2" t="s">
        <v>251</v>
      </c>
      <c r="C107" s="2" t="s">
        <v>229</v>
      </c>
      <c r="D107" s="2" t="s">
        <v>15</v>
      </c>
      <c r="E107" s="2">
        <v>45.8</v>
      </c>
      <c r="F107" s="2">
        <v>0</v>
      </c>
      <c r="G107" s="2">
        <v>45.8</v>
      </c>
      <c r="H107" s="2" t="s">
        <v>35</v>
      </c>
    </row>
    <row r="108" spans="1:8" ht="16.8" x14ac:dyDescent="0.4">
      <c r="A108" s="2" t="s">
        <v>252</v>
      </c>
      <c r="B108" s="2" t="s">
        <v>253</v>
      </c>
      <c r="C108" s="2" t="s">
        <v>229</v>
      </c>
      <c r="D108" s="2" t="s">
        <v>13</v>
      </c>
      <c r="E108" s="2">
        <v>161.56</v>
      </c>
      <c r="F108" s="2">
        <v>0</v>
      </c>
      <c r="G108" s="2">
        <v>161.56</v>
      </c>
      <c r="H108" s="2" t="s">
        <v>35</v>
      </c>
    </row>
    <row r="109" spans="1:8" ht="16.8" x14ac:dyDescent="0.4">
      <c r="A109" s="2" t="s">
        <v>254</v>
      </c>
      <c r="B109" s="2" t="s">
        <v>255</v>
      </c>
      <c r="C109" s="2" t="s">
        <v>229</v>
      </c>
      <c r="D109" s="2" t="s">
        <v>14</v>
      </c>
      <c r="E109" s="2">
        <v>132.08000000000001</v>
      </c>
      <c r="F109" s="2">
        <v>0</v>
      </c>
      <c r="G109" s="2">
        <v>132.08000000000001</v>
      </c>
      <c r="H109" s="2" t="s">
        <v>35</v>
      </c>
    </row>
    <row r="110" spans="1:8" ht="16.8" x14ac:dyDescent="0.4">
      <c r="A110" s="2" t="s">
        <v>256</v>
      </c>
      <c r="B110" s="2" t="s">
        <v>257</v>
      </c>
      <c r="C110" s="2" t="s">
        <v>229</v>
      </c>
      <c r="D110" s="2" t="s">
        <v>13</v>
      </c>
      <c r="E110" s="2">
        <v>181.13</v>
      </c>
      <c r="F110" s="2">
        <v>0</v>
      </c>
      <c r="G110" s="2">
        <v>181.13</v>
      </c>
      <c r="H110" s="2" t="s">
        <v>35</v>
      </c>
    </row>
    <row r="111" spans="1:8" ht="16.8" x14ac:dyDescent="0.4">
      <c r="A111" s="2" t="s">
        <v>258</v>
      </c>
      <c r="B111" s="2" t="s">
        <v>259</v>
      </c>
      <c r="C111" s="2" t="s">
        <v>229</v>
      </c>
      <c r="D111" s="2" t="s">
        <v>13</v>
      </c>
      <c r="E111" s="2">
        <v>108.91</v>
      </c>
      <c r="F111" s="2">
        <v>0</v>
      </c>
      <c r="G111" s="2">
        <v>108.91</v>
      </c>
      <c r="H111" s="2" t="s">
        <v>35</v>
      </c>
    </row>
    <row r="112" spans="1:8" ht="16.8" x14ac:dyDescent="0.4">
      <c r="A112" s="2" t="s">
        <v>260</v>
      </c>
      <c r="B112" s="2" t="s">
        <v>261</v>
      </c>
      <c r="C112" s="2" t="s">
        <v>262</v>
      </c>
      <c r="D112" s="2" t="s">
        <v>11</v>
      </c>
      <c r="E112" s="2">
        <v>72.56</v>
      </c>
      <c r="F112" s="2">
        <v>0</v>
      </c>
      <c r="G112" s="2">
        <v>72.56</v>
      </c>
      <c r="H112" s="2" t="s">
        <v>35</v>
      </c>
    </row>
    <row r="113" spans="1:8" ht="16.8" x14ac:dyDescent="0.4">
      <c r="A113" s="2" t="s">
        <v>263</v>
      </c>
      <c r="B113" s="2" t="s">
        <v>264</v>
      </c>
      <c r="C113" s="2" t="s">
        <v>262</v>
      </c>
      <c r="D113" s="2" t="s">
        <v>13</v>
      </c>
      <c r="E113" s="2">
        <v>246.19</v>
      </c>
      <c r="F113" s="2">
        <v>24.62</v>
      </c>
      <c r="G113" s="2">
        <v>221.57</v>
      </c>
      <c r="H113" s="2" t="s">
        <v>35</v>
      </c>
    </row>
    <row r="114" spans="1:8" ht="16.8" x14ac:dyDescent="0.4">
      <c r="A114" s="2" t="s">
        <v>265</v>
      </c>
      <c r="B114" s="2" t="s">
        <v>266</v>
      </c>
      <c r="C114" s="2" t="s">
        <v>262</v>
      </c>
      <c r="D114" s="2" t="s">
        <v>15</v>
      </c>
      <c r="E114" s="2">
        <v>216.18</v>
      </c>
      <c r="F114" s="2">
        <v>0</v>
      </c>
      <c r="G114" s="2">
        <v>216.18</v>
      </c>
      <c r="H114" s="2" t="s">
        <v>35</v>
      </c>
    </row>
    <row r="115" spans="1:8" ht="16.8" x14ac:dyDescent="0.4">
      <c r="A115" s="2" t="s">
        <v>267</v>
      </c>
      <c r="B115" s="2" t="s">
        <v>268</v>
      </c>
      <c r="C115" s="2" t="s">
        <v>262</v>
      </c>
      <c r="D115" s="2" t="s">
        <v>13</v>
      </c>
      <c r="E115" s="2">
        <v>220.68</v>
      </c>
      <c r="F115" s="2">
        <v>0</v>
      </c>
      <c r="G115" s="2">
        <v>220.68</v>
      </c>
      <c r="H115" s="2" t="s">
        <v>35</v>
      </c>
    </row>
    <row r="116" spans="1:8" ht="16.8" x14ac:dyDescent="0.4">
      <c r="A116" s="2" t="s">
        <v>269</v>
      </c>
      <c r="B116" s="2" t="s">
        <v>270</v>
      </c>
      <c r="C116" s="2" t="s">
        <v>262</v>
      </c>
      <c r="D116" s="2" t="s">
        <v>11</v>
      </c>
      <c r="E116" s="2">
        <v>92.55</v>
      </c>
      <c r="F116" s="2">
        <v>9.26</v>
      </c>
      <c r="G116" s="2">
        <v>83.289999999999992</v>
      </c>
      <c r="H116" s="2" t="s">
        <v>35</v>
      </c>
    </row>
    <row r="117" spans="1:8" ht="16.8" x14ac:dyDescent="0.4">
      <c r="A117" s="2" t="s">
        <v>271</v>
      </c>
      <c r="B117" s="2" t="s">
        <v>272</v>
      </c>
      <c r="C117" s="2" t="s">
        <v>262</v>
      </c>
      <c r="D117" s="2" t="s">
        <v>15</v>
      </c>
      <c r="E117" s="2">
        <v>48.16</v>
      </c>
      <c r="F117" s="2">
        <v>0</v>
      </c>
      <c r="G117" s="2">
        <v>48.16</v>
      </c>
      <c r="H117" s="2" t="s">
        <v>35</v>
      </c>
    </row>
    <row r="118" spans="1:8" ht="16.8" x14ac:dyDescent="0.4">
      <c r="A118" s="2" t="s">
        <v>273</v>
      </c>
      <c r="B118" s="2" t="s">
        <v>274</v>
      </c>
      <c r="C118" s="2" t="s">
        <v>262</v>
      </c>
      <c r="D118" s="2" t="s">
        <v>12</v>
      </c>
      <c r="E118" s="2">
        <v>103.69</v>
      </c>
      <c r="F118" s="2">
        <v>10.37</v>
      </c>
      <c r="G118" s="2">
        <v>93.32</v>
      </c>
      <c r="H118" s="2" t="s">
        <v>35</v>
      </c>
    </row>
    <row r="119" spans="1:8" ht="16.8" x14ac:dyDescent="0.4">
      <c r="A119" s="2" t="s">
        <v>275</v>
      </c>
      <c r="B119" s="2" t="s">
        <v>276</v>
      </c>
      <c r="C119" s="2" t="s">
        <v>262</v>
      </c>
      <c r="D119" s="2" t="s">
        <v>13</v>
      </c>
      <c r="E119" s="2">
        <v>152.79</v>
      </c>
      <c r="F119" s="2">
        <v>0</v>
      </c>
      <c r="G119" s="2">
        <v>152.79</v>
      </c>
      <c r="H119" s="2" t="s">
        <v>35</v>
      </c>
    </row>
    <row r="120" spans="1:8" ht="16.8" x14ac:dyDescent="0.4">
      <c r="A120" s="2" t="s">
        <v>277</v>
      </c>
      <c r="B120" s="2" t="s">
        <v>278</v>
      </c>
      <c r="C120" s="2" t="s">
        <v>262</v>
      </c>
      <c r="D120" s="2" t="s">
        <v>11</v>
      </c>
      <c r="E120" s="2">
        <v>108.6</v>
      </c>
      <c r="F120" s="2">
        <v>0</v>
      </c>
      <c r="G120" s="2">
        <v>108.6</v>
      </c>
      <c r="H120" s="2" t="s">
        <v>35</v>
      </c>
    </row>
    <row r="121" spans="1:8" ht="16.8" x14ac:dyDescent="0.4">
      <c r="A121" s="2" t="s">
        <v>279</v>
      </c>
      <c r="B121" s="2" t="s">
        <v>280</v>
      </c>
      <c r="C121" s="2" t="s">
        <v>262</v>
      </c>
      <c r="D121" s="2" t="s">
        <v>12</v>
      </c>
      <c r="E121" s="2">
        <v>213.85</v>
      </c>
      <c r="F121" s="2">
        <v>0</v>
      </c>
      <c r="G121" s="2">
        <v>213.85</v>
      </c>
      <c r="H121" s="2" t="s">
        <v>35</v>
      </c>
    </row>
    <row r="122" spans="1:8" ht="16.8" x14ac:dyDescent="0.4">
      <c r="A122" s="2" t="s">
        <v>281</v>
      </c>
      <c r="B122" s="2" t="s">
        <v>282</v>
      </c>
      <c r="C122" s="2" t="s">
        <v>262</v>
      </c>
      <c r="D122" s="2" t="s">
        <v>12</v>
      </c>
      <c r="E122" s="2">
        <v>97.02</v>
      </c>
      <c r="F122" s="2">
        <v>9.6999999999999993</v>
      </c>
      <c r="G122" s="2">
        <v>87.32</v>
      </c>
      <c r="H122" s="2" t="s">
        <v>35</v>
      </c>
    </row>
    <row r="123" spans="1:8" ht="16.8" x14ac:dyDescent="0.4">
      <c r="A123" s="2" t="s">
        <v>283</v>
      </c>
      <c r="B123" s="2" t="s">
        <v>284</v>
      </c>
      <c r="C123" s="2" t="s">
        <v>262</v>
      </c>
      <c r="D123" s="2" t="s">
        <v>14</v>
      </c>
      <c r="E123" s="2">
        <v>242.7</v>
      </c>
      <c r="F123" s="2">
        <v>0</v>
      </c>
      <c r="G123" s="2">
        <v>242.7</v>
      </c>
      <c r="H123" s="2" t="s">
        <v>35</v>
      </c>
    </row>
    <row r="124" spans="1:8" ht="16.8" x14ac:dyDescent="0.4">
      <c r="A124" s="2" t="s">
        <v>285</v>
      </c>
      <c r="B124" s="2" t="s">
        <v>286</v>
      </c>
      <c r="C124" s="2" t="s">
        <v>262</v>
      </c>
      <c r="D124" s="2" t="s">
        <v>15</v>
      </c>
      <c r="E124" s="2">
        <v>136.03</v>
      </c>
      <c r="F124" s="2">
        <v>13.6</v>
      </c>
      <c r="G124" s="2">
        <v>122.43</v>
      </c>
      <c r="H124" s="2" t="s">
        <v>35</v>
      </c>
    </row>
    <row r="125" spans="1:8" ht="16.8" x14ac:dyDescent="0.4">
      <c r="A125" s="2" t="s">
        <v>287</v>
      </c>
      <c r="B125" s="2" t="s">
        <v>288</v>
      </c>
      <c r="C125" s="2" t="s">
        <v>262</v>
      </c>
      <c r="D125" s="2" t="s">
        <v>13</v>
      </c>
      <c r="E125" s="2">
        <v>216.82</v>
      </c>
      <c r="F125" s="2">
        <v>0</v>
      </c>
      <c r="G125" s="2">
        <v>216.82</v>
      </c>
      <c r="H125" s="2" t="s">
        <v>35</v>
      </c>
    </row>
    <row r="126" spans="1:8" ht="16.8" x14ac:dyDescent="0.4">
      <c r="A126" s="2" t="s">
        <v>289</v>
      </c>
      <c r="B126" s="2" t="s">
        <v>290</v>
      </c>
      <c r="C126" s="2" t="s">
        <v>262</v>
      </c>
      <c r="D126" s="2" t="s">
        <v>11</v>
      </c>
      <c r="E126" s="2">
        <v>80.819999999999993</v>
      </c>
      <c r="F126" s="2">
        <v>8.08</v>
      </c>
      <c r="G126" s="2">
        <v>72.739999999999995</v>
      </c>
      <c r="H126" s="2" t="s">
        <v>35</v>
      </c>
    </row>
    <row r="127" spans="1:8" ht="16.8" x14ac:dyDescent="0.4">
      <c r="A127" s="2" t="s">
        <v>291</v>
      </c>
      <c r="B127" s="2" t="s">
        <v>292</v>
      </c>
      <c r="C127" s="2" t="s">
        <v>262</v>
      </c>
      <c r="D127" s="2" t="s">
        <v>14</v>
      </c>
      <c r="E127" s="2">
        <v>126.38</v>
      </c>
      <c r="F127" s="2">
        <v>0</v>
      </c>
      <c r="G127" s="2">
        <v>126.38</v>
      </c>
      <c r="H127" s="2" t="s">
        <v>35</v>
      </c>
    </row>
    <row r="128" spans="1:8" ht="16.8" x14ac:dyDescent="0.4">
      <c r="A128" s="2" t="s">
        <v>293</v>
      </c>
      <c r="B128" s="2" t="s">
        <v>294</v>
      </c>
      <c r="C128" s="2" t="s">
        <v>295</v>
      </c>
      <c r="D128" s="2" t="s">
        <v>15</v>
      </c>
      <c r="E128" s="2">
        <v>186.9</v>
      </c>
      <c r="F128" s="2">
        <v>18.690000000000001</v>
      </c>
      <c r="G128" s="2">
        <v>168.21</v>
      </c>
      <c r="H128" s="2" t="s">
        <v>35</v>
      </c>
    </row>
    <row r="129" spans="1:8" ht="16.8" x14ac:dyDescent="0.4">
      <c r="A129" s="2" t="s">
        <v>296</v>
      </c>
      <c r="B129" s="2" t="s">
        <v>297</v>
      </c>
      <c r="C129" s="2" t="s">
        <v>295</v>
      </c>
      <c r="D129" s="2" t="s">
        <v>14</v>
      </c>
      <c r="E129" s="2">
        <v>69.05</v>
      </c>
      <c r="F129" s="2">
        <v>0</v>
      </c>
      <c r="G129" s="2">
        <v>69.05</v>
      </c>
      <c r="H129" s="2" t="s">
        <v>35</v>
      </c>
    </row>
    <row r="130" spans="1:8" ht="16.8" x14ac:dyDescent="0.4">
      <c r="A130" s="2" t="s">
        <v>298</v>
      </c>
      <c r="B130" s="2" t="s">
        <v>299</v>
      </c>
      <c r="C130" s="2" t="s">
        <v>295</v>
      </c>
      <c r="D130" s="2" t="s">
        <v>15</v>
      </c>
      <c r="E130" s="2">
        <v>67.88</v>
      </c>
      <c r="F130" s="2">
        <v>0</v>
      </c>
      <c r="G130" s="2">
        <v>67.88</v>
      </c>
      <c r="H130" s="2" t="s">
        <v>35</v>
      </c>
    </row>
    <row r="131" spans="1:8" ht="16.8" x14ac:dyDescent="0.4">
      <c r="A131" s="2" t="s">
        <v>300</v>
      </c>
      <c r="B131" s="2" t="s">
        <v>301</v>
      </c>
      <c r="C131" s="2" t="s">
        <v>295</v>
      </c>
      <c r="D131" s="2" t="s">
        <v>15</v>
      </c>
      <c r="E131" s="2">
        <v>243.6</v>
      </c>
      <c r="F131" s="2">
        <v>0</v>
      </c>
      <c r="G131" s="2">
        <v>243.6</v>
      </c>
      <c r="H131" s="2" t="s">
        <v>35</v>
      </c>
    </row>
    <row r="132" spans="1:8" ht="16.8" x14ac:dyDescent="0.4">
      <c r="A132" s="2" t="s">
        <v>302</v>
      </c>
      <c r="B132" s="2" t="s">
        <v>303</v>
      </c>
      <c r="C132" s="2" t="s">
        <v>295</v>
      </c>
      <c r="D132" s="2" t="s">
        <v>13</v>
      </c>
      <c r="E132" s="2">
        <v>190.06</v>
      </c>
      <c r="F132" s="2">
        <v>0</v>
      </c>
      <c r="G132" s="2">
        <v>190.06</v>
      </c>
      <c r="H132" s="2" t="s">
        <v>35</v>
      </c>
    </row>
    <row r="133" spans="1:8" ht="16.8" x14ac:dyDescent="0.4">
      <c r="A133" s="2" t="s">
        <v>304</v>
      </c>
      <c r="B133" s="2" t="s">
        <v>305</v>
      </c>
      <c r="C133" s="2" t="s">
        <v>295</v>
      </c>
      <c r="D133" s="2" t="s">
        <v>15</v>
      </c>
      <c r="E133" s="2">
        <v>48.62</v>
      </c>
      <c r="F133" s="2">
        <v>0</v>
      </c>
      <c r="G133" s="2">
        <v>48.62</v>
      </c>
      <c r="H133" s="2" t="s">
        <v>35</v>
      </c>
    </row>
    <row r="134" spans="1:8" ht="16.8" x14ac:dyDescent="0.4">
      <c r="A134" s="2" t="s">
        <v>306</v>
      </c>
      <c r="B134" s="2" t="s">
        <v>307</v>
      </c>
      <c r="C134" s="2" t="s">
        <v>295</v>
      </c>
      <c r="D134" s="2" t="s">
        <v>14</v>
      </c>
      <c r="E134" s="2">
        <v>123.75</v>
      </c>
      <c r="F134" s="2">
        <v>0</v>
      </c>
      <c r="G134" s="2">
        <v>123.75</v>
      </c>
      <c r="H134" s="2" t="s">
        <v>35</v>
      </c>
    </row>
    <row r="135" spans="1:8" ht="16.8" x14ac:dyDescent="0.4">
      <c r="A135" s="2" t="s">
        <v>308</v>
      </c>
      <c r="B135" s="2" t="s">
        <v>309</v>
      </c>
      <c r="C135" s="2" t="s">
        <v>295</v>
      </c>
      <c r="D135" s="2" t="s">
        <v>15</v>
      </c>
      <c r="E135" s="2">
        <v>131.04</v>
      </c>
      <c r="F135" s="2">
        <v>0</v>
      </c>
      <c r="G135" s="2">
        <v>131.04</v>
      </c>
      <c r="H135" s="2" t="s">
        <v>35</v>
      </c>
    </row>
    <row r="136" spans="1:8" ht="16.8" x14ac:dyDescent="0.4">
      <c r="A136" s="2" t="s">
        <v>310</v>
      </c>
      <c r="B136" s="2" t="s">
        <v>311</v>
      </c>
      <c r="C136" s="2" t="s">
        <v>295</v>
      </c>
      <c r="D136" s="2" t="s">
        <v>13</v>
      </c>
      <c r="E136" s="2">
        <v>196.25</v>
      </c>
      <c r="F136" s="2">
        <v>0</v>
      </c>
      <c r="G136" s="2">
        <v>196.25</v>
      </c>
      <c r="H136" s="2" t="s">
        <v>35</v>
      </c>
    </row>
    <row r="137" spans="1:8" ht="16.8" x14ac:dyDescent="0.4">
      <c r="A137" s="2" t="s">
        <v>312</v>
      </c>
      <c r="B137" s="2" t="s">
        <v>313</v>
      </c>
      <c r="C137" s="2" t="s">
        <v>295</v>
      </c>
      <c r="D137" s="2" t="s">
        <v>13</v>
      </c>
      <c r="E137" s="2">
        <v>92.68</v>
      </c>
      <c r="F137" s="2">
        <v>9.27</v>
      </c>
      <c r="G137" s="2">
        <v>83.410000000000011</v>
      </c>
      <c r="H137" s="2" t="s">
        <v>35</v>
      </c>
    </row>
    <row r="138" spans="1:8" ht="16.8" x14ac:dyDescent="0.4">
      <c r="A138" s="2" t="s">
        <v>314</v>
      </c>
      <c r="B138" s="2" t="s">
        <v>315</v>
      </c>
      <c r="C138" s="2" t="s">
        <v>295</v>
      </c>
      <c r="D138" s="2" t="s">
        <v>14</v>
      </c>
      <c r="E138" s="2">
        <v>78.709999999999994</v>
      </c>
      <c r="F138" s="2">
        <v>7.87</v>
      </c>
      <c r="G138" s="2">
        <v>70.839999999999989</v>
      </c>
      <c r="H138" s="2" t="s">
        <v>35</v>
      </c>
    </row>
    <row r="139" spans="1:8" ht="16.8" x14ac:dyDescent="0.4">
      <c r="A139" s="2" t="s">
        <v>316</v>
      </c>
      <c r="B139" s="2" t="s">
        <v>317</v>
      </c>
      <c r="C139" s="2" t="s">
        <v>295</v>
      </c>
      <c r="D139" s="2" t="s">
        <v>12</v>
      </c>
      <c r="E139" s="2">
        <v>56.98</v>
      </c>
      <c r="F139" s="2">
        <v>0</v>
      </c>
      <c r="G139" s="2">
        <v>56.98</v>
      </c>
      <c r="H139" s="2" t="s">
        <v>35</v>
      </c>
    </row>
    <row r="140" spans="1:8" ht="16.8" x14ac:dyDescent="0.4">
      <c r="A140" s="2" t="s">
        <v>318</v>
      </c>
      <c r="B140" s="2" t="s">
        <v>319</v>
      </c>
      <c r="C140" s="2" t="s">
        <v>295</v>
      </c>
      <c r="D140" s="2" t="s">
        <v>12</v>
      </c>
      <c r="E140" s="2">
        <v>129.94999999999999</v>
      </c>
      <c r="F140" s="2">
        <v>13</v>
      </c>
      <c r="G140" s="2">
        <v>116.95</v>
      </c>
      <c r="H140" s="2" t="s">
        <v>35</v>
      </c>
    </row>
    <row r="141" spans="1:8" ht="16.8" x14ac:dyDescent="0.4">
      <c r="A141" s="2" t="s">
        <v>320</v>
      </c>
      <c r="B141" s="2" t="s">
        <v>321</v>
      </c>
      <c r="C141" s="2" t="s">
        <v>295</v>
      </c>
      <c r="D141" s="2" t="s">
        <v>15</v>
      </c>
      <c r="E141" s="2">
        <v>184.58</v>
      </c>
      <c r="F141" s="2">
        <v>18.46</v>
      </c>
      <c r="G141" s="2">
        <v>166.12</v>
      </c>
      <c r="H141" s="2" t="s">
        <v>35</v>
      </c>
    </row>
    <row r="142" spans="1:8" ht="16.8" x14ac:dyDescent="0.4">
      <c r="A142" s="2" t="s">
        <v>322</v>
      </c>
      <c r="B142" s="2" t="s">
        <v>323</v>
      </c>
      <c r="C142" s="2" t="s">
        <v>295</v>
      </c>
      <c r="D142" s="2" t="s">
        <v>11</v>
      </c>
      <c r="E142" s="2">
        <v>52.22</v>
      </c>
      <c r="F142" s="2">
        <v>0</v>
      </c>
      <c r="G142" s="2">
        <v>52.22</v>
      </c>
      <c r="H142" s="2" t="s">
        <v>35</v>
      </c>
    </row>
    <row r="143" spans="1:8" ht="16.8" x14ac:dyDescent="0.4">
      <c r="A143" s="2" t="s">
        <v>324</v>
      </c>
      <c r="B143" s="2" t="s">
        <v>325</v>
      </c>
      <c r="C143" s="2" t="s">
        <v>326</v>
      </c>
      <c r="D143" s="2" t="s">
        <v>15</v>
      </c>
      <c r="E143" s="2">
        <v>232.19</v>
      </c>
      <c r="F143" s="2">
        <v>0</v>
      </c>
      <c r="G143" s="2">
        <v>232.19</v>
      </c>
      <c r="H143" s="2" t="s">
        <v>35</v>
      </c>
    </row>
    <row r="144" spans="1:8" ht="16.8" x14ac:dyDescent="0.4">
      <c r="A144" s="2" t="s">
        <v>327</v>
      </c>
      <c r="B144" s="2" t="s">
        <v>328</v>
      </c>
      <c r="C144" s="2" t="s">
        <v>326</v>
      </c>
      <c r="D144" s="2" t="s">
        <v>14</v>
      </c>
      <c r="E144" s="2">
        <v>132.88999999999999</v>
      </c>
      <c r="F144" s="2">
        <v>0</v>
      </c>
      <c r="G144" s="2">
        <v>132.88999999999999</v>
      </c>
      <c r="H144" s="2" t="s">
        <v>35</v>
      </c>
    </row>
    <row r="145" spans="1:8" ht="16.8" x14ac:dyDescent="0.4">
      <c r="A145" s="2" t="s">
        <v>329</v>
      </c>
      <c r="B145" s="2" t="s">
        <v>330</v>
      </c>
      <c r="C145" s="2" t="s">
        <v>326</v>
      </c>
      <c r="D145" s="2" t="s">
        <v>14</v>
      </c>
      <c r="E145" s="2">
        <v>90.36</v>
      </c>
      <c r="F145" s="2">
        <v>0</v>
      </c>
      <c r="G145" s="2">
        <v>90.36</v>
      </c>
      <c r="H145" s="2" t="s">
        <v>35</v>
      </c>
    </row>
    <row r="146" spans="1:8" ht="16.8" x14ac:dyDescent="0.4">
      <c r="A146" s="2" t="s">
        <v>331</v>
      </c>
      <c r="B146" s="2" t="s">
        <v>332</v>
      </c>
      <c r="C146" s="2" t="s">
        <v>326</v>
      </c>
      <c r="D146" s="2" t="s">
        <v>14</v>
      </c>
      <c r="E146" s="2">
        <v>59.71</v>
      </c>
      <c r="F146" s="2">
        <v>0</v>
      </c>
      <c r="G146" s="2">
        <v>59.71</v>
      </c>
      <c r="H146" s="2" t="s">
        <v>35</v>
      </c>
    </row>
    <row r="147" spans="1:8" ht="16.8" x14ac:dyDescent="0.4">
      <c r="A147" s="2" t="s">
        <v>333</v>
      </c>
      <c r="B147" s="2" t="s">
        <v>334</v>
      </c>
      <c r="C147" s="2" t="s">
        <v>326</v>
      </c>
      <c r="D147" s="2" t="s">
        <v>14</v>
      </c>
      <c r="E147" s="2">
        <v>78.400000000000006</v>
      </c>
      <c r="F147" s="2">
        <v>0</v>
      </c>
      <c r="G147" s="2">
        <v>78.400000000000006</v>
      </c>
      <c r="H147" s="2" t="s">
        <v>35</v>
      </c>
    </row>
    <row r="148" spans="1:8" ht="16.8" x14ac:dyDescent="0.4">
      <c r="A148" s="2" t="s">
        <v>335</v>
      </c>
      <c r="B148" s="2" t="s">
        <v>336</v>
      </c>
      <c r="C148" s="2" t="s">
        <v>326</v>
      </c>
      <c r="D148" s="2" t="s">
        <v>14</v>
      </c>
      <c r="E148" s="2">
        <v>236.27</v>
      </c>
      <c r="F148" s="2">
        <v>23.63</v>
      </c>
      <c r="G148" s="2">
        <v>212.64</v>
      </c>
      <c r="H148" s="2" t="s">
        <v>35</v>
      </c>
    </row>
    <row r="149" spans="1:8" ht="16.8" x14ac:dyDescent="0.4">
      <c r="A149" s="2" t="s">
        <v>337</v>
      </c>
      <c r="B149" s="2" t="s">
        <v>338</v>
      </c>
      <c r="C149" s="2" t="s">
        <v>326</v>
      </c>
      <c r="D149" s="2" t="s">
        <v>13</v>
      </c>
      <c r="E149" s="2">
        <v>174.04</v>
      </c>
      <c r="F149" s="2">
        <v>17.399999999999999</v>
      </c>
      <c r="G149" s="2">
        <v>156.63999999999999</v>
      </c>
      <c r="H149" s="2" t="s">
        <v>35</v>
      </c>
    </row>
    <row r="150" spans="1:8" ht="16.8" x14ac:dyDescent="0.4">
      <c r="A150" s="2" t="s">
        <v>339</v>
      </c>
      <c r="B150" s="2" t="s">
        <v>340</v>
      </c>
      <c r="C150" s="2" t="s">
        <v>326</v>
      </c>
      <c r="D150" s="2" t="s">
        <v>12</v>
      </c>
      <c r="E150" s="2">
        <v>148.51</v>
      </c>
      <c r="F150" s="2">
        <v>0</v>
      </c>
      <c r="G150" s="2">
        <v>148.51</v>
      </c>
      <c r="H150" s="2" t="s">
        <v>35</v>
      </c>
    </row>
    <row r="151" spans="1:8" ht="16.8" x14ac:dyDescent="0.4">
      <c r="A151" s="2" t="s">
        <v>341</v>
      </c>
      <c r="B151" s="2" t="s">
        <v>342</v>
      </c>
      <c r="C151" s="2" t="s">
        <v>326</v>
      </c>
      <c r="D151" s="2" t="s">
        <v>14</v>
      </c>
      <c r="E151" s="2">
        <v>177.99</v>
      </c>
      <c r="F151" s="2">
        <v>0</v>
      </c>
      <c r="G151" s="2">
        <v>177.99</v>
      </c>
      <c r="H151" s="2" t="s">
        <v>35</v>
      </c>
    </row>
    <row r="152" spans="1:8" ht="16.8" x14ac:dyDescent="0.4">
      <c r="A152" s="2" t="s">
        <v>343</v>
      </c>
      <c r="B152" s="2" t="s">
        <v>344</v>
      </c>
      <c r="C152" s="2" t="s">
        <v>326</v>
      </c>
      <c r="D152" s="2" t="s">
        <v>11</v>
      </c>
      <c r="E152" s="2">
        <v>131.49</v>
      </c>
      <c r="F152" s="2">
        <v>0</v>
      </c>
      <c r="G152" s="2">
        <v>131.49</v>
      </c>
      <c r="H152" s="2" t="s">
        <v>35</v>
      </c>
    </row>
    <row r="153" spans="1:8" ht="16.8" x14ac:dyDescent="0.4">
      <c r="A153" s="2" t="s">
        <v>345</v>
      </c>
      <c r="B153" s="2" t="s">
        <v>346</v>
      </c>
      <c r="C153" s="2" t="s">
        <v>326</v>
      </c>
      <c r="D153" s="2" t="s">
        <v>11</v>
      </c>
      <c r="E153" s="2">
        <v>193.31</v>
      </c>
      <c r="F153" s="2">
        <v>0</v>
      </c>
      <c r="G153" s="2">
        <v>193.31</v>
      </c>
      <c r="H153" s="2" t="s">
        <v>35</v>
      </c>
    </row>
    <row r="154" spans="1:8" ht="16.8" x14ac:dyDescent="0.4">
      <c r="A154" s="2" t="s">
        <v>347</v>
      </c>
      <c r="B154" s="2" t="s">
        <v>348</v>
      </c>
      <c r="C154" s="2" t="s">
        <v>326</v>
      </c>
      <c r="D154" s="2" t="s">
        <v>11</v>
      </c>
      <c r="E154" s="2">
        <v>50.02</v>
      </c>
      <c r="F154" s="2">
        <v>0</v>
      </c>
      <c r="G154" s="2">
        <v>50.02</v>
      </c>
      <c r="H154" s="2" t="s">
        <v>35</v>
      </c>
    </row>
    <row r="155" spans="1:8" ht="16.8" x14ac:dyDescent="0.4">
      <c r="A155" s="2" t="s">
        <v>349</v>
      </c>
      <c r="B155" s="2" t="s">
        <v>350</v>
      </c>
      <c r="C155" s="2" t="s">
        <v>326</v>
      </c>
      <c r="D155" s="2" t="s">
        <v>11</v>
      </c>
      <c r="E155" s="2">
        <v>158.87</v>
      </c>
      <c r="F155" s="2">
        <v>15.89</v>
      </c>
      <c r="G155" s="2">
        <v>142.97999999999999</v>
      </c>
      <c r="H155" s="2" t="s">
        <v>35</v>
      </c>
    </row>
    <row r="156" spans="1:8" ht="16.8" x14ac:dyDescent="0.4">
      <c r="A156" s="2" t="s">
        <v>351</v>
      </c>
      <c r="B156" s="2" t="s">
        <v>352</v>
      </c>
      <c r="C156" s="2" t="s">
        <v>326</v>
      </c>
      <c r="D156" s="2" t="s">
        <v>13</v>
      </c>
      <c r="E156" s="2">
        <v>73.319999999999993</v>
      </c>
      <c r="F156" s="2">
        <v>0</v>
      </c>
      <c r="G156" s="2">
        <v>73.319999999999993</v>
      </c>
      <c r="H156" s="2" t="s">
        <v>35</v>
      </c>
    </row>
    <row r="157" spans="1:8" ht="16.8" x14ac:dyDescent="0.4">
      <c r="A157" s="2" t="s">
        <v>353</v>
      </c>
      <c r="B157" s="2" t="s">
        <v>354</v>
      </c>
      <c r="C157" s="2" t="s">
        <v>326</v>
      </c>
      <c r="D157" s="2" t="s">
        <v>11</v>
      </c>
      <c r="E157" s="2">
        <v>65.23</v>
      </c>
      <c r="F157" s="2">
        <v>6.52</v>
      </c>
      <c r="G157" s="2">
        <v>58.710000000000008</v>
      </c>
      <c r="H157" s="2" t="s">
        <v>35</v>
      </c>
    </row>
    <row r="158" spans="1:8" ht="16.8" x14ac:dyDescent="0.4">
      <c r="A158" s="2" t="s">
        <v>355</v>
      </c>
      <c r="B158" s="2" t="s">
        <v>356</v>
      </c>
      <c r="C158" s="2" t="s">
        <v>326</v>
      </c>
      <c r="D158" s="2" t="s">
        <v>14</v>
      </c>
      <c r="E158" s="2">
        <v>111.79</v>
      </c>
      <c r="F158" s="2">
        <v>11.18</v>
      </c>
      <c r="G158" s="2">
        <v>100.61</v>
      </c>
      <c r="H158" s="2" t="s">
        <v>35</v>
      </c>
    </row>
    <row r="159" spans="1:8" ht="16.8" x14ac:dyDescent="0.4">
      <c r="A159" s="2" t="s">
        <v>357</v>
      </c>
      <c r="B159" s="2" t="s">
        <v>358</v>
      </c>
      <c r="C159" s="2" t="s">
        <v>359</v>
      </c>
      <c r="D159" s="2" t="s">
        <v>15</v>
      </c>
      <c r="E159" s="2">
        <v>59.28</v>
      </c>
      <c r="F159" s="2">
        <v>0</v>
      </c>
      <c r="G159" s="2">
        <v>59.28</v>
      </c>
      <c r="H159" s="2" t="s">
        <v>35</v>
      </c>
    </row>
    <row r="160" spans="1:8" ht="16.8" x14ac:dyDescent="0.4">
      <c r="A160" s="2" t="s">
        <v>360</v>
      </c>
      <c r="B160" s="2" t="s">
        <v>361</v>
      </c>
      <c r="C160" s="2" t="s">
        <v>359</v>
      </c>
      <c r="D160" s="2" t="s">
        <v>11</v>
      </c>
      <c r="E160" s="2">
        <v>59.77</v>
      </c>
      <c r="F160" s="2">
        <v>5.98</v>
      </c>
      <c r="G160" s="2">
        <v>53.790000000000013</v>
      </c>
      <c r="H160" s="2" t="s">
        <v>35</v>
      </c>
    </row>
    <row r="161" spans="1:8" ht="16.8" x14ac:dyDescent="0.4">
      <c r="A161" s="2" t="s">
        <v>362</v>
      </c>
      <c r="B161" s="2" t="s">
        <v>363</v>
      </c>
      <c r="C161" s="2" t="s">
        <v>359</v>
      </c>
      <c r="D161" s="2" t="s">
        <v>13</v>
      </c>
      <c r="E161" s="2">
        <v>105.4</v>
      </c>
      <c r="F161" s="2">
        <v>0</v>
      </c>
      <c r="G161" s="2">
        <v>105.4</v>
      </c>
      <c r="H161" s="2" t="s">
        <v>35</v>
      </c>
    </row>
    <row r="162" spans="1:8" ht="16.8" x14ac:dyDescent="0.4">
      <c r="A162" s="2" t="s">
        <v>364</v>
      </c>
      <c r="B162" s="2" t="s">
        <v>365</v>
      </c>
      <c r="C162" s="2" t="s">
        <v>359</v>
      </c>
      <c r="D162" s="2" t="s">
        <v>13</v>
      </c>
      <c r="E162" s="2">
        <v>245.7</v>
      </c>
      <c r="F162" s="2">
        <v>0</v>
      </c>
      <c r="G162" s="2">
        <v>245.7</v>
      </c>
      <c r="H162" s="2" t="s">
        <v>35</v>
      </c>
    </row>
    <row r="163" spans="1:8" ht="16.8" x14ac:dyDescent="0.4">
      <c r="A163" s="2" t="s">
        <v>366</v>
      </c>
      <c r="B163" s="2" t="s">
        <v>367</v>
      </c>
      <c r="C163" s="2" t="s">
        <v>359</v>
      </c>
      <c r="D163" s="2" t="s">
        <v>11</v>
      </c>
      <c r="E163" s="2">
        <v>76.819999999999993</v>
      </c>
      <c r="F163" s="2">
        <v>0</v>
      </c>
      <c r="G163" s="2">
        <v>76.819999999999993</v>
      </c>
      <c r="H163" s="2" t="s">
        <v>35</v>
      </c>
    </row>
    <row r="164" spans="1:8" ht="16.8" x14ac:dyDescent="0.4">
      <c r="A164" s="2" t="s">
        <v>368</v>
      </c>
      <c r="B164" s="2" t="s">
        <v>369</v>
      </c>
      <c r="C164" s="2" t="s">
        <v>359</v>
      </c>
      <c r="D164" s="2" t="s">
        <v>15</v>
      </c>
      <c r="E164" s="2">
        <v>43.6</v>
      </c>
      <c r="F164" s="2">
        <v>4.3600000000000003</v>
      </c>
      <c r="G164" s="2">
        <v>39.24</v>
      </c>
      <c r="H164" s="2" t="s">
        <v>35</v>
      </c>
    </row>
    <row r="165" spans="1:8" ht="16.8" x14ac:dyDescent="0.4">
      <c r="A165" s="2" t="s">
        <v>370</v>
      </c>
      <c r="B165" s="2" t="s">
        <v>371</v>
      </c>
      <c r="C165" s="2" t="s">
        <v>359</v>
      </c>
      <c r="D165" s="2" t="s">
        <v>11</v>
      </c>
      <c r="E165" s="2">
        <v>200.31</v>
      </c>
      <c r="F165" s="2">
        <v>0</v>
      </c>
      <c r="G165" s="2">
        <v>200.31</v>
      </c>
      <c r="H165" s="2" t="s">
        <v>35</v>
      </c>
    </row>
    <row r="166" spans="1:8" ht="16.8" x14ac:dyDescent="0.4">
      <c r="A166" s="2" t="s">
        <v>372</v>
      </c>
      <c r="B166" s="2" t="s">
        <v>373</v>
      </c>
      <c r="C166" s="2" t="s">
        <v>359</v>
      </c>
      <c r="D166" s="2" t="s">
        <v>13</v>
      </c>
      <c r="E166" s="2">
        <v>209.45</v>
      </c>
      <c r="F166" s="2">
        <v>20.94</v>
      </c>
      <c r="G166" s="2">
        <v>188.51</v>
      </c>
      <c r="H166" s="2" t="s">
        <v>35</v>
      </c>
    </row>
    <row r="167" spans="1:8" ht="16.8" x14ac:dyDescent="0.4">
      <c r="A167" s="2" t="s">
        <v>374</v>
      </c>
      <c r="B167" s="2" t="s">
        <v>375</v>
      </c>
      <c r="C167" s="2" t="s">
        <v>359</v>
      </c>
      <c r="D167" s="2" t="s">
        <v>12</v>
      </c>
      <c r="E167" s="2">
        <v>112.72</v>
      </c>
      <c r="F167" s="2">
        <v>11.27</v>
      </c>
      <c r="G167" s="2">
        <v>101.45</v>
      </c>
      <c r="H167" s="2" t="s">
        <v>35</v>
      </c>
    </row>
    <row r="168" spans="1:8" ht="16.8" x14ac:dyDescent="0.4">
      <c r="A168" s="2" t="s">
        <v>376</v>
      </c>
      <c r="B168" s="2" t="s">
        <v>377</v>
      </c>
      <c r="C168" s="2" t="s">
        <v>359</v>
      </c>
      <c r="D168" s="2" t="s">
        <v>14</v>
      </c>
      <c r="E168" s="2">
        <v>137.58000000000001</v>
      </c>
      <c r="F168" s="2">
        <v>0</v>
      </c>
      <c r="G168" s="2">
        <v>137.58000000000001</v>
      </c>
      <c r="H168" s="2" t="s">
        <v>35</v>
      </c>
    </row>
    <row r="169" spans="1:8" ht="16.8" x14ac:dyDescent="0.4">
      <c r="A169" s="2" t="s">
        <v>378</v>
      </c>
      <c r="B169" s="2" t="s">
        <v>379</v>
      </c>
      <c r="C169" s="2" t="s">
        <v>359</v>
      </c>
      <c r="D169" s="2" t="s">
        <v>13</v>
      </c>
      <c r="E169" s="2">
        <v>176.45</v>
      </c>
      <c r="F169" s="2">
        <v>17.64</v>
      </c>
      <c r="G169" s="2">
        <v>158.81</v>
      </c>
      <c r="H169" s="2" t="s">
        <v>35</v>
      </c>
    </row>
    <row r="170" spans="1:8" ht="16.8" x14ac:dyDescent="0.4">
      <c r="A170" s="2" t="s">
        <v>380</v>
      </c>
      <c r="B170" s="2" t="s">
        <v>381</v>
      </c>
      <c r="C170" s="2" t="s">
        <v>359</v>
      </c>
      <c r="D170" s="2" t="s">
        <v>11</v>
      </c>
      <c r="E170" s="2">
        <v>50.09</v>
      </c>
      <c r="F170" s="2">
        <v>0</v>
      </c>
      <c r="G170" s="2">
        <v>50.09</v>
      </c>
      <c r="H170" s="2" t="s">
        <v>35</v>
      </c>
    </row>
    <row r="171" spans="1:8" ht="16.8" x14ac:dyDescent="0.4">
      <c r="A171" s="2" t="s">
        <v>382</v>
      </c>
      <c r="B171" s="2" t="s">
        <v>383</v>
      </c>
      <c r="C171" s="2" t="s">
        <v>359</v>
      </c>
      <c r="D171" s="2" t="s">
        <v>14</v>
      </c>
      <c r="E171" s="2">
        <v>239.32</v>
      </c>
      <c r="F171" s="2">
        <v>0</v>
      </c>
      <c r="G171" s="2">
        <v>239.32</v>
      </c>
      <c r="H171" s="2" t="s">
        <v>35</v>
      </c>
    </row>
    <row r="172" spans="1:8" ht="16.8" x14ac:dyDescent="0.4">
      <c r="A172" s="2" t="s">
        <v>384</v>
      </c>
      <c r="B172" s="2" t="s">
        <v>385</v>
      </c>
      <c r="C172" s="2" t="s">
        <v>359</v>
      </c>
      <c r="D172" s="2" t="s">
        <v>11</v>
      </c>
      <c r="E172" s="2">
        <v>226.2</v>
      </c>
      <c r="F172" s="2">
        <v>0</v>
      </c>
      <c r="G172" s="2">
        <v>226.2</v>
      </c>
      <c r="H172" s="2" t="s">
        <v>35</v>
      </c>
    </row>
    <row r="173" spans="1:8" ht="16.8" x14ac:dyDescent="0.4">
      <c r="A173" s="2" t="s">
        <v>386</v>
      </c>
      <c r="B173" s="2" t="s">
        <v>387</v>
      </c>
      <c r="C173" s="2" t="s">
        <v>359</v>
      </c>
      <c r="D173" s="2" t="s">
        <v>11</v>
      </c>
      <c r="E173" s="2">
        <v>94.79</v>
      </c>
      <c r="F173" s="2">
        <v>0</v>
      </c>
      <c r="G173" s="2">
        <v>94.79</v>
      </c>
      <c r="H173" s="2" t="s">
        <v>35</v>
      </c>
    </row>
    <row r="174" spans="1:8" ht="16.8" x14ac:dyDescent="0.4">
      <c r="A174" s="2" t="s">
        <v>388</v>
      </c>
      <c r="B174" s="2" t="s">
        <v>389</v>
      </c>
      <c r="C174" s="2" t="s">
        <v>359</v>
      </c>
      <c r="D174" s="2" t="s">
        <v>12</v>
      </c>
      <c r="E174" s="2">
        <v>43.21</v>
      </c>
      <c r="F174" s="2">
        <v>4.32</v>
      </c>
      <c r="G174" s="2">
        <v>38.89</v>
      </c>
      <c r="H174" s="2" t="s">
        <v>35</v>
      </c>
    </row>
    <row r="175" spans="1:8" ht="16.8" x14ac:dyDescent="0.4">
      <c r="A175" s="2" t="s">
        <v>390</v>
      </c>
      <c r="B175" s="2" t="s">
        <v>391</v>
      </c>
      <c r="C175" s="2" t="s">
        <v>392</v>
      </c>
      <c r="D175" s="2" t="s">
        <v>14</v>
      </c>
      <c r="E175" s="2">
        <v>236.02</v>
      </c>
      <c r="F175" s="2">
        <v>0</v>
      </c>
      <c r="G175" s="2">
        <v>236.02</v>
      </c>
      <c r="H175" s="2" t="s">
        <v>35</v>
      </c>
    </row>
    <row r="176" spans="1:8" ht="16.8" x14ac:dyDescent="0.4">
      <c r="A176" s="2" t="s">
        <v>393</v>
      </c>
      <c r="B176" s="2" t="s">
        <v>394</v>
      </c>
      <c r="C176" s="2" t="s">
        <v>392</v>
      </c>
      <c r="D176" s="2" t="s">
        <v>14</v>
      </c>
      <c r="E176" s="2">
        <v>145.22</v>
      </c>
      <c r="F176" s="2">
        <v>0</v>
      </c>
      <c r="G176" s="2">
        <v>145.22</v>
      </c>
      <c r="H176" s="2" t="s">
        <v>35</v>
      </c>
    </row>
    <row r="177" spans="1:8" ht="16.8" x14ac:dyDescent="0.4">
      <c r="A177" s="2" t="s">
        <v>395</v>
      </c>
      <c r="B177" s="2" t="s">
        <v>396</v>
      </c>
      <c r="C177" s="2" t="s">
        <v>392</v>
      </c>
      <c r="D177" s="2" t="s">
        <v>12</v>
      </c>
      <c r="E177" s="2">
        <v>153.27000000000001</v>
      </c>
      <c r="F177" s="2">
        <v>15.33</v>
      </c>
      <c r="G177" s="2">
        <v>137.94</v>
      </c>
      <c r="H177" s="2" t="s">
        <v>35</v>
      </c>
    </row>
    <row r="178" spans="1:8" ht="16.8" x14ac:dyDescent="0.4">
      <c r="A178" s="2" t="s">
        <v>397</v>
      </c>
      <c r="B178" s="2" t="s">
        <v>398</v>
      </c>
      <c r="C178" s="2" t="s">
        <v>392</v>
      </c>
      <c r="D178" s="2" t="s">
        <v>13</v>
      </c>
      <c r="E178" s="2">
        <v>183.63</v>
      </c>
      <c r="F178" s="2">
        <v>0</v>
      </c>
      <c r="G178" s="2">
        <v>183.63</v>
      </c>
      <c r="H178" s="2" t="s">
        <v>35</v>
      </c>
    </row>
    <row r="179" spans="1:8" ht="16.8" x14ac:dyDescent="0.4">
      <c r="A179" s="2" t="s">
        <v>399</v>
      </c>
      <c r="B179" s="2" t="s">
        <v>400</v>
      </c>
      <c r="C179" s="2" t="s">
        <v>392</v>
      </c>
      <c r="D179" s="2" t="s">
        <v>11</v>
      </c>
      <c r="E179" s="2">
        <v>169.33</v>
      </c>
      <c r="F179" s="2">
        <v>0</v>
      </c>
      <c r="G179" s="2">
        <v>169.33</v>
      </c>
      <c r="H179" s="2" t="s">
        <v>35</v>
      </c>
    </row>
    <row r="180" spans="1:8" ht="16.8" x14ac:dyDescent="0.4">
      <c r="A180" s="2" t="s">
        <v>401</v>
      </c>
      <c r="B180" s="2" t="s">
        <v>402</v>
      </c>
      <c r="C180" s="2" t="s">
        <v>392</v>
      </c>
      <c r="D180" s="2" t="s">
        <v>15</v>
      </c>
      <c r="E180" s="2">
        <v>238.22</v>
      </c>
      <c r="F180" s="2">
        <v>0</v>
      </c>
      <c r="G180" s="2">
        <v>238.22</v>
      </c>
      <c r="H180" s="2" t="s">
        <v>35</v>
      </c>
    </row>
    <row r="181" spans="1:8" ht="16.8" x14ac:dyDescent="0.4">
      <c r="A181" s="2" t="s">
        <v>403</v>
      </c>
      <c r="B181" s="2" t="s">
        <v>404</v>
      </c>
      <c r="C181" s="2" t="s">
        <v>392</v>
      </c>
      <c r="D181" s="2" t="s">
        <v>11</v>
      </c>
      <c r="E181" s="2">
        <v>238.29</v>
      </c>
      <c r="F181" s="2">
        <v>23.83</v>
      </c>
      <c r="G181" s="2">
        <v>214.46</v>
      </c>
      <c r="H181" s="2" t="s">
        <v>35</v>
      </c>
    </row>
    <row r="182" spans="1:8" ht="16.8" x14ac:dyDescent="0.4">
      <c r="A182" s="2" t="s">
        <v>405</v>
      </c>
      <c r="B182" s="2" t="s">
        <v>406</v>
      </c>
      <c r="C182" s="2" t="s">
        <v>392</v>
      </c>
      <c r="D182" s="2" t="s">
        <v>11</v>
      </c>
      <c r="E182" s="2">
        <v>222.11</v>
      </c>
      <c r="F182" s="2">
        <v>0</v>
      </c>
      <c r="G182" s="2">
        <v>222.11</v>
      </c>
      <c r="H182" s="2" t="s">
        <v>35</v>
      </c>
    </row>
    <row r="183" spans="1:8" ht="16.8" x14ac:dyDescent="0.4">
      <c r="A183" s="2" t="s">
        <v>407</v>
      </c>
      <c r="B183" s="2" t="s">
        <v>408</v>
      </c>
      <c r="C183" s="2" t="s">
        <v>392</v>
      </c>
      <c r="D183" s="2" t="s">
        <v>13</v>
      </c>
      <c r="E183" s="2">
        <v>173.64</v>
      </c>
      <c r="F183" s="2">
        <v>17.36</v>
      </c>
      <c r="G183" s="2">
        <v>156.28</v>
      </c>
      <c r="H183" s="2" t="s">
        <v>35</v>
      </c>
    </row>
    <row r="184" spans="1:8" ht="16.8" x14ac:dyDescent="0.4">
      <c r="A184" s="2" t="s">
        <v>409</v>
      </c>
      <c r="B184" s="2" t="s">
        <v>410</v>
      </c>
      <c r="C184" s="2" t="s">
        <v>392</v>
      </c>
      <c r="D184" s="2" t="s">
        <v>11</v>
      </c>
      <c r="E184" s="2">
        <v>208.2</v>
      </c>
      <c r="F184" s="2">
        <v>20.82</v>
      </c>
      <c r="G184" s="2">
        <v>187.38</v>
      </c>
      <c r="H184" s="2" t="s">
        <v>35</v>
      </c>
    </row>
    <row r="185" spans="1:8" ht="16.8" x14ac:dyDescent="0.4">
      <c r="A185" s="2" t="s">
        <v>411</v>
      </c>
      <c r="B185" s="2" t="s">
        <v>412</v>
      </c>
      <c r="C185" s="2" t="s">
        <v>392</v>
      </c>
      <c r="D185" s="2" t="s">
        <v>12</v>
      </c>
      <c r="E185" s="2">
        <v>182.21</v>
      </c>
      <c r="F185" s="2">
        <v>0</v>
      </c>
      <c r="G185" s="2">
        <v>182.21</v>
      </c>
      <c r="H185" s="2" t="s">
        <v>35</v>
      </c>
    </row>
    <row r="186" spans="1:8" ht="16.8" x14ac:dyDescent="0.4">
      <c r="A186" s="2" t="s">
        <v>413</v>
      </c>
      <c r="B186" s="2" t="s">
        <v>414</v>
      </c>
      <c r="C186" s="2" t="s">
        <v>392</v>
      </c>
      <c r="D186" s="2" t="s">
        <v>12</v>
      </c>
      <c r="E186" s="2">
        <v>160.41</v>
      </c>
      <c r="F186" s="2">
        <v>0</v>
      </c>
      <c r="G186" s="2">
        <v>160.41</v>
      </c>
      <c r="H186" s="2" t="s">
        <v>35</v>
      </c>
    </row>
    <row r="187" spans="1:8" ht="16.8" x14ac:dyDescent="0.4">
      <c r="A187" s="2" t="s">
        <v>415</v>
      </c>
      <c r="B187" s="2" t="s">
        <v>416</v>
      </c>
      <c r="C187" s="2" t="s">
        <v>392</v>
      </c>
      <c r="D187" s="2" t="s">
        <v>14</v>
      </c>
      <c r="E187" s="2">
        <v>66.989999999999995</v>
      </c>
      <c r="F187" s="2">
        <v>0</v>
      </c>
      <c r="G187" s="2">
        <v>66.989999999999995</v>
      </c>
      <c r="H187" s="2" t="s">
        <v>35</v>
      </c>
    </row>
    <row r="188" spans="1:8" ht="16.8" x14ac:dyDescent="0.4">
      <c r="A188" s="2" t="s">
        <v>417</v>
      </c>
      <c r="B188" s="2" t="s">
        <v>418</v>
      </c>
      <c r="C188" s="2" t="s">
        <v>392</v>
      </c>
      <c r="D188" s="2" t="s">
        <v>15</v>
      </c>
      <c r="E188" s="2">
        <v>210.35</v>
      </c>
      <c r="F188" s="2">
        <v>0</v>
      </c>
      <c r="G188" s="2">
        <v>210.35</v>
      </c>
      <c r="H188" s="2" t="s">
        <v>35</v>
      </c>
    </row>
    <row r="189" spans="1:8" ht="16.8" x14ac:dyDescent="0.4">
      <c r="A189" s="2" t="s">
        <v>419</v>
      </c>
      <c r="B189" s="2" t="s">
        <v>420</v>
      </c>
      <c r="C189" s="2" t="s">
        <v>392</v>
      </c>
      <c r="D189" s="2" t="s">
        <v>11</v>
      </c>
      <c r="E189" s="2">
        <v>212.33</v>
      </c>
      <c r="F189" s="2">
        <v>0</v>
      </c>
      <c r="G189" s="2">
        <v>212.33</v>
      </c>
      <c r="H189" s="2" t="s">
        <v>35</v>
      </c>
    </row>
    <row r="190" spans="1:8" ht="16.8" x14ac:dyDescent="0.4">
      <c r="A190" s="2" t="s">
        <v>421</v>
      </c>
      <c r="B190" s="2" t="s">
        <v>422</v>
      </c>
      <c r="C190" s="2" t="s">
        <v>423</v>
      </c>
      <c r="D190" s="2" t="s">
        <v>11</v>
      </c>
      <c r="E190" s="2">
        <v>171.45</v>
      </c>
      <c r="F190" s="2">
        <v>0</v>
      </c>
      <c r="G190" s="2">
        <v>171.45</v>
      </c>
      <c r="H190" s="2" t="s">
        <v>35</v>
      </c>
    </row>
    <row r="191" spans="1:8" ht="16.8" x14ac:dyDescent="0.4">
      <c r="A191" s="2" t="s">
        <v>424</v>
      </c>
      <c r="B191" s="2" t="s">
        <v>425</v>
      </c>
      <c r="C191" s="2" t="s">
        <v>423</v>
      </c>
      <c r="D191" s="2" t="s">
        <v>13</v>
      </c>
      <c r="E191" s="2">
        <v>212.29</v>
      </c>
      <c r="F191" s="2">
        <v>0</v>
      </c>
      <c r="G191" s="2">
        <v>212.29</v>
      </c>
      <c r="H191" s="2" t="s">
        <v>35</v>
      </c>
    </row>
    <row r="192" spans="1:8" ht="16.8" x14ac:dyDescent="0.4">
      <c r="A192" s="2" t="s">
        <v>426</v>
      </c>
      <c r="B192" s="2" t="s">
        <v>427</v>
      </c>
      <c r="C192" s="2" t="s">
        <v>423</v>
      </c>
      <c r="D192" s="2" t="s">
        <v>12</v>
      </c>
      <c r="E192" s="2">
        <v>176.81</v>
      </c>
      <c r="F192" s="2">
        <v>0</v>
      </c>
      <c r="G192" s="2">
        <v>176.81</v>
      </c>
      <c r="H192" s="2" t="s">
        <v>35</v>
      </c>
    </row>
    <row r="193" spans="1:8" ht="16.8" x14ac:dyDescent="0.4">
      <c r="A193" s="2" t="s">
        <v>428</v>
      </c>
      <c r="B193" s="2" t="s">
        <v>429</v>
      </c>
      <c r="C193" s="2" t="s">
        <v>423</v>
      </c>
      <c r="D193" s="2" t="s">
        <v>15</v>
      </c>
      <c r="E193" s="2">
        <v>83.4</v>
      </c>
      <c r="F193" s="2">
        <v>0</v>
      </c>
      <c r="G193" s="2">
        <v>83.4</v>
      </c>
      <c r="H193" s="2" t="s">
        <v>35</v>
      </c>
    </row>
    <row r="194" spans="1:8" ht="16.8" x14ac:dyDescent="0.4">
      <c r="A194" s="2" t="s">
        <v>430</v>
      </c>
      <c r="B194" s="2" t="s">
        <v>431</v>
      </c>
      <c r="C194" s="2" t="s">
        <v>423</v>
      </c>
      <c r="D194" s="2" t="s">
        <v>14</v>
      </c>
      <c r="E194" s="2">
        <v>97.53</v>
      </c>
      <c r="F194" s="2">
        <v>0</v>
      </c>
      <c r="G194" s="2">
        <v>97.53</v>
      </c>
      <c r="H194" s="2" t="s">
        <v>35</v>
      </c>
    </row>
    <row r="195" spans="1:8" ht="16.8" x14ac:dyDescent="0.4">
      <c r="A195" s="2" t="s">
        <v>432</v>
      </c>
      <c r="B195" s="2" t="s">
        <v>433</v>
      </c>
      <c r="C195" s="2" t="s">
        <v>423</v>
      </c>
      <c r="D195" s="2" t="s">
        <v>12</v>
      </c>
      <c r="E195" s="2">
        <v>85.06</v>
      </c>
      <c r="F195" s="2">
        <v>0</v>
      </c>
      <c r="G195" s="2">
        <v>85.06</v>
      </c>
      <c r="H195" s="2" t="s">
        <v>35</v>
      </c>
    </row>
    <row r="196" spans="1:8" ht="16.8" x14ac:dyDescent="0.4">
      <c r="A196" s="2" t="s">
        <v>434</v>
      </c>
      <c r="B196" s="2" t="s">
        <v>435</v>
      </c>
      <c r="C196" s="2" t="s">
        <v>423</v>
      </c>
      <c r="D196" s="2" t="s">
        <v>14</v>
      </c>
      <c r="E196" s="2">
        <v>119.22</v>
      </c>
      <c r="F196" s="2">
        <v>0</v>
      </c>
      <c r="G196" s="2">
        <v>119.22</v>
      </c>
      <c r="H196" s="2" t="s">
        <v>35</v>
      </c>
    </row>
    <row r="197" spans="1:8" ht="16.8" x14ac:dyDescent="0.4">
      <c r="A197" s="2" t="s">
        <v>436</v>
      </c>
      <c r="B197" s="2" t="s">
        <v>437</v>
      </c>
      <c r="C197" s="2" t="s">
        <v>423</v>
      </c>
      <c r="D197" s="2" t="s">
        <v>13</v>
      </c>
      <c r="E197" s="2">
        <v>48.18</v>
      </c>
      <c r="F197" s="2">
        <v>0</v>
      </c>
      <c r="G197" s="2">
        <v>48.18</v>
      </c>
      <c r="H197" s="2" t="s">
        <v>35</v>
      </c>
    </row>
    <row r="198" spans="1:8" ht="16.8" x14ac:dyDescent="0.4">
      <c r="A198" s="2" t="s">
        <v>438</v>
      </c>
      <c r="B198" s="2" t="s">
        <v>439</v>
      </c>
      <c r="C198" s="2" t="s">
        <v>423</v>
      </c>
      <c r="D198" s="2" t="s">
        <v>13</v>
      </c>
      <c r="E198" s="2">
        <v>169.83</v>
      </c>
      <c r="F198" s="2">
        <v>0</v>
      </c>
      <c r="G198" s="2">
        <v>169.83</v>
      </c>
      <c r="H198" s="2" t="s">
        <v>35</v>
      </c>
    </row>
    <row r="199" spans="1:8" ht="16.8" x14ac:dyDescent="0.4">
      <c r="A199" s="2" t="s">
        <v>440</v>
      </c>
      <c r="B199" s="2" t="s">
        <v>441</v>
      </c>
      <c r="C199" s="2" t="s">
        <v>423</v>
      </c>
      <c r="D199" s="2" t="s">
        <v>11</v>
      </c>
      <c r="E199" s="2">
        <v>110.68</v>
      </c>
      <c r="F199" s="2">
        <v>0</v>
      </c>
      <c r="G199" s="2">
        <v>110.68</v>
      </c>
      <c r="H199" s="2" t="s">
        <v>35</v>
      </c>
    </row>
    <row r="200" spans="1:8" ht="16.8" x14ac:dyDescent="0.4">
      <c r="A200" s="2" t="s">
        <v>442</v>
      </c>
      <c r="B200" s="2" t="s">
        <v>443</v>
      </c>
      <c r="C200" s="2" t="s">
        <v>423</v>
      </c>
      <c r="D200" s="2" t="s">
        <v>15</v>
      </c>
      <c r="E200" s="2">
        <v>177.7</v>
      </c>
      <c r="F200" s="2">
        <v>17.77</v>
      </c>
      <c r="G200" s="2">
        <v>159.93</v>
      </c>
      <c r="H200" s="2" t="s">
        <v>35</v>
      </c>
    </row>
    <row r="201" spans="1:8" ht="16.8" x14ac:dyDescent="0.4">
      <c r="A201" s="2" t="s">
        <v>444</v>
      </c>
      <c r="B201" s="2" t="s">
        <v>445</v>
      </c>
      <c r="C201" s="2" t="s">
        <v>423</v>
      </c>
      <c r="D201" s="2" t="s">
        <v>14</v>
      </c>
      <c r="E201" s="2">
        <v>120.93</v>
      </c>
      <c r="F201" s="2">
        <v>0</v>
      </c>
      <c r="G201" s="2">
        <v>120.93</v>
      </c>
      <c r="H201" s="2" t="s">
        <v>35</v>
      </c>
    </row>
    <row r="202" spans="1:8" ht="16.8" x14ac:dyDescent="0.4">
      <c r="A202" s="2" t="s">
        <v>446</v>
      </c>
      <c r="B202" s="2" t="s">
        <v>447</v>
      </c>
      <c r="C202" s="2" t="s">
        <v>423</v>
      </c>
      <c r="D202" s="2" t="s">
        <v>12</v>
      </c>
      <c r="E202" s="2">
        <v>183.14</v>
      </c>
      <c r="F202" s="2">
        <v>18.309999999999999</v>
      </c>
      <c r="G202" s="2">
        <v>164.83</v>
      </c>
      <c r="H202" s="2" t="s">
        <v>35</v>
      </c>
    </row>
    <row r="203" spans="1:8" ht="16.8" x14ac:dyDescent="0.4">
      <c r="A203" s="2" t="s">
        <v>448</v>
      </c>
      <c r="B203" s="2" t="s">
        <v>449</v>
      </c>
      <c r="C203" s="2" t="s">
        <v>423</v>
      </c>
      <c r="D203" s="2" t="s">
        <v>13</v>
      </c>
      <c r="E203" s="2">
        <v>111.53</v>
      </c>
      <c r="F203" s="2">
        <v>0</v>
      </c>
      <c r="G203" s="2">
        <v>111.53</v>
      </c>
      <c r="H203" s="2" t="s">
        <v>35</v>
      </c>
    </row>
    <row r="204" spans="1:8" ht="16.8" x14ac:dyDescent="0.4">
      <c r="A204" s="2" t="s">
        <v>450</v>
      </c>
      <c r="B204" s="2" t="s">
        <v>451</v>
      </c>
      <c r="C204" s="2" t="s">
        <v>423</v>
      </c>
      <c r="D204" s="2" t="s">
        <v>11</v>
      </c>
      <c r="E204" s="2">
        <v>94.75</v>
      </c>
      <c r="F204" s="2">
        <v>0</v>
      </c>
      <c r="G204" s="2">
        <v>94.75</v>
      </c>
      <c r="H204" s="2" t="s">
        <v>35</v>
      </c>
    </row>
    <row r="205" spans="1:8" ht="16.8" x14ac:dyDescent="0.4">
      <c r="A205" s="2" t="s">
        <v>452</v>
      </c>
      <c r="B205" s="2" t="s">
        <v>453</v>
      </c>
      <c r="C205" s="2" t="s">
        <v>423</v>
      </c>
      <c r="D205" s="2" t="s">
        <v>11</v>
      </c>
      <c r="E205" s="2">
        <v>144.16999999999999</v>
      </c>
      <c r="F205" s="2">
        <v>14.42</v>
      </c>
      <c r="G205" s="2">
        <v>129.75</v>
      </c>
      <c r="H205" s="2" t="s">
        <v>35</v>
      </c>
    </row>
    <row r="206" spans="1:8" ht="16.8" x14ac:dyDescent="0.4">
      <c r="A206" s="2" t="s">
        <v>454</v>
      </c>
      <c r="B206" s="2" t="s">
        <v>455</v>
      </c>
      <c r="C206" s="2" t="s">
        <v>456</v>
      </c>
      <c r="D206" s="2" t="s">
        <v>14</v>
      </c>
      <c r="E206" s="2">
        <v>185.51</v>
      </c>
      <c r="F206" s="2">
        <v>0</v>
      </c>
      <c r="G206" s="2">
        <v>185.51</v>
      </c>
      <c r="H206" s="2" t="s">
        <v>35</v>
      </c>
    </row>
    <row r="207" spans="1:8" ht="16.8" x14ac:dyDescent="0.4">
      <c r="A207" s="2" t="s">
        <v>457</v>
      </c>
      <c r="B207" s="2" t="s">
        <v>458</v>
      </c>
      <c r="C207" s="2" t="s">
        <v>456</v>
      </c>
      <c r="D207" s="2" t="s">
        <v>13</v>
      </c>
      <c r="E207" s="2">
        <v>113.15</v>
      </c>
      <c r="F207" s="2">
        <v>0</v>
      </c>
      <c r="G207" s="2">
        <v>113.15</v>
      </c>
      <c r="H207" s="2" t="s">
        <v>35</v>
      </c>
    </row>
    <row r="208" spans="1:8" ht="16.8" x14ac:dyDescent="0.4">
      <c r="A208" s="2" t="s">
        <v>459</v>
      </c>
      <c r="B208" s="2" t="s">
        <v>460</v>
      </c>
      <c r="C208" s="2" t="s">
        <v>456</v>
      </c>
      <c r="D208" s="2" t="s">
        <v>15</v>
      </c>
      <c r="E208" s="2">
        <v>236.7</v>
      </c>
      <c r="F208" s="2">
        <v>0</v>
      </c>
      <c r="G208" s="2">
        <v>236.7</v>
      </c>
      <c r="H208" s="2" t="s">
        <v>35</v>
      </c>
    </row>
    <row r="209" spans="1:8" ht="16.8" x14ac:dyDescent="0.4">
      <c r="A209" s="2" t="s">
        <v>461</v>
      </c>
      <c r="B209" s="2" t="s">
        <v>462</v>
      </c>
      <c r="C209" s="2" t="s">
        <v>456</v>
      </c>
      <c r="D209" s="2" t="s">
        <v>13</v>
      </c>
      <c r="E209" s="2">
        <v>48.23</v>
      </c>
      <c r="F209" s="2">
        <v>0</v>
      </c>
      <c r="G209" s="2">
        <v>48.23</v>
      </c>
      <c r="H209" s="2" t="s">
        <v>35</v>
      </c>
    </row>
    <row r="210" spans="1:8" ht="16.8" x14ac:dyDescent="0.4">
      <c r="A210" s="2" t="s">
        <v>463</v>
      </c>
      <c r="B210" s="2" t="s">
        <v>464</v>
      </c>
      <c r="C210" s="2" t="s">
        <v>456</v>
      </c>
      <c r="D210" s="2" t="s">
        <v>14</v>
      </c>
      <c r="E210" s="2">
        <v>127.77</v>
      </c>
      <c r="F210" s="2">
        <v>0</v>
      </c>
      <c r="G210" s="2">
        <v>127.77</v>
      </c>
      <c r="H210" s="2" t="s">
        <v>35</v>
      </c>
    </row>
    <row r="211" spans="1:8" ht="16.8" x14ac:dyDescent="0.4">
      <c r="A211" s="2" t="s">
        <v>465</v>
      </c>
      <c r="B211" s="2" t="s">
        <v>466</v>
      </c>
      <c r="C211" s="2" t="s">
        <v>456</v>
      </c>
      <c r="D211" s="2" t="s">
        <v>14</v>
      </c>
      <c r="E211" s="2">
        <v>243.19</v>
      </c>
      <c r="F211" s="2">
        <v>0</v>
      </c>
      <c r="G211" s="2">
        <v>243.19</v>
      </c>
      <c r="H211" s="2" t="s">
        <v>35</v>
      </c>
    </row>
    <row r="212" spans="1:8" ht="16.8" x14ac:dyDescent="0.4">
      <c r="A212" s="2" t="s">
        <v>467</v>
      </c>
      <c r="B212" s="2" t="s">
        <v>468</v>
      </c>
      <c r="C212" s="2" t="s">
        <v>456</v>
      </c>
      <c r="D212" s="2" t="s">
        <v>13</v>
      </c>
      <c r="E212" s="2">
        <v>155.07</v>
      </c>
      <c r="F212" s="2">
        <v>15.51</v>
      </c>
      <c r="G212" s="2">
        <v>139.56</v>
      </c>
      <c r="H212" s="2" t="s">
        <v>35</v>
      </c>
    </row>
    <row r="213" spans="1:8" ht="16.8" x14ac:dyDescent="0.4">
      <c r="A213" s="2" t="s">
        <v>469</v>
      </c>
      <c r="B213" s="2" t="s">
        <v>470</v>
      </c>
      <c r="C213" s="2" t="s">
        <v>456</v>
      </c>
      <c r="D213" s="2" t="s">
        <v>14</v>
      </c>
      <c r="E213" s="2">
        <v>128.93</v>
      </c>
      <c r="F213" s="2">
        <v>0</v>
      </c>
      <c r="G213" s="2">
        <v>128.93</v>
      </c>
      <c r="H213" s="2" t="s">
        <v>35</v>
      </c>
    </row>
    <row r="214" spans="1:8" ht="16.8" x14ac:dyDescent="0.4">
      <c r="A214" s="2" t="s">
        <v>471</v>
      </c>
      <c r="B214" s="2" t="s">
        <v>472</v>
      </c>
      <c r="C214" s="2" t="s">
        <v>456</v>
      </c>
      <c r="D214" s="2" t="s">
        <v>13</v>
      </c>
      <c r="E214" s="2">
        <v>159.38999999999999</v>
      </c>
      <c r="F214" s="2">
        <v>0</v>
      </c>
      <c r="G214" s="2">
        <v>159.38999999999999</v>
      </c>
      <c r="H214" s="2" t="s">
        <v>35</v>
      </c>
    </row>
    <row r="215" spans="1:8" ht="16.8" x14ac:dyDescent="0.4">
      <c r="A215" s="2" t="s">
        <v>473</v>
      </c>
      <c r="B215" s="2" t="s">
        <v>474</v>
      </c>
      <c r="C215" s="2" t="s">
        <v>456</v>
      </c>
      <c r="D215" s="2" t="s">
        <v>12</v>
      </c>
      <c r="E215" s="2">
        <v>160.94</v>
      </c>
      <c r="F215" s="2">
        <v>0</v>
      </c>
      <c r="G215" s="2">
        <v>160.94</v>
      </c>
      <c r="H215" s="2" t="s">
        <v>35</v>
      </c>
    </row>
    <row r="216" spans="1:8" ht="16.8" x14ac:dyDescent="0.4">
      <c r="A216" s="2" t="s">
        <v>475</v>
      </c>
      <c r="B216" s="2" t="s">
        <v>476</v>
      </c>
      <c r="C216" s="2" t="s">
        <v>456</v>
      </c>
      <c r="D216" s="2" t="s">
        <v>13</v>
      </c>
      <c r="E216" s="2">
        <v>193.65</v>
      </c>
      <c r="F216" s="2">
        <v>0</v>
      </c>
      <c r="G216" s="2">
        <v>193.65</v>
      </c>
      <c r="H216" s="2" t="s">
        <v>35</v>
      </c>
    </row>
    <row r="217" spans="1:8" ht="16.8" x14ac:dyDescent="0.4">
      <c r="A217" s="2" t="s">
        <v>477</v>
      </c>
      <c r="B217" s="2" t="s">
        <v>478</v>
      </c>
      <c r="C217" s="2" t="s">
        <v>456</v>
      </c>
      <c r="D217" s="2" t="s">
        <v>13</v>
      </c>
      <c r="E217" s="2">
        <v>66.81</v>
      </c>
      <c r="F217" s="2">
        <v>0</v>
      </c>
      <c r="G217" s="2">
        <v>66.81</v>
      </c>
      <c r="H217" s="2" t="s">
        <v>35</v>
      </c>
    </row>
    <row r="218" spans="1:8" ht="16.8" x14ac:dyDescent="0.4">
      <c r="A218" s="2" t="s">
        <v>479</v>
      </c>
      <c r="B218" s="2" t="s">
        <v>480</v>
      </c>
      <c r="C218" s="2" t="s">
        <v>456</v>
      </c>
      <c r="D218" s="2" t="s">
        <v>14</v>
      </c>
      <c r="E218" s="2">
        <v>92.5</v>
      </c>
      <c r="F218" s="2">
        <v>0</v>
      </c>
      <c r="G218" s="2">
        <v>92.5</v>
      </c>
      <c r="H218" s="2" t="s">
        <v>35</v>
      </c>
    </row>
    <row r="219" spans="1:8" ht="16.8" x14ac:dyDescent="0.4">
      <c r="A219" s="2" t="s">
        <v>481</v>
      </c>
      <c r="B219" s="2" t="s">
        <v>482</v>
      </c>
      <c r="C219" s="2" t="s">
        <v>456</v>
      </c>
      <c r="D219" s="2" t="s">
        <v>14</v>
      </c>
      <c r="E219" s="2">
        <v>161.91</v>
      </c>
      <c r="F219" s="2">
        <v>0</v>
      </c>
      <c r="G219" s="2">
        <v>161.91</v>
      </c>
      <c r="H219" s="2" t="s">
        <v>35</v>
      </c>
    </row>
    <row r="220" spans="1:8" ht="16.8" x14ac:dyDescent="0.4">
      <c r="A220" s="2" t="s">
        <v>483</v>
      </c>
      <c r="B220" s="2" t="s">
        <v>484</v>
      </c>
      <c r="C220" s="2" t="s">
        <v>456</v>
      </c>
      <c r="D220" s="2" t="s">
        <v>11</v>
      </c>
      <c r="E220" s="2">
        <v>222.09</v>
      </c>
      <c r="F220" s="2">
        <v>0</v>
      </c>
      <c r="G220" s="2">
        <v>222.09</v>
      </c>
      <c r="H220" s="2" t="s">
        <v>35</v>
      </c>
    </row>
    <row r="221" spans="1:8" ht="16.8" x14ac:dyDescent="0.4">
      <c r="A221" s="2" t="s">
        <v>485</v>
      </c>
      <c r="B221" s="2" t="s">
        <v>486</v>
      </c>
      <c r="C221" s="2" t="s">
        <v>487</v>
      </c>
      <c r="D221" s="2" t="s">
        <v>11</v>
      </c>
      <c r="E221" s="2">
        <v>157.99</v>
      </c>
      <c r="F221" s="2">
        <v>0</v>
      </c>
      <c r="G221" s="2">
        <v>157.99</v>
      </c>
      <c r="H221" s="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8"/>
  <sheetViews>
    <sheetView workbookViewId="0"/>
  </sheetViews>
  <sheetFormatPr defaultRowHeight="14.4" x14ac:dyDescent="0.3"/>
  <cols>
    <col min="1" max="1" width="21" customWidth="1"/>
    <col min="2" max="2" width="17" customWidth="1"/>
    <col min="3" max="3" width="14" customWidth="1"/>
    <col min="4" max="4" width="17" customWidth="1"/>
    <col min="5" max="6" width="22" customWidth="1"/>
    <col min="7" max="7" width="15" customWidth="1"/>
    <col min="8" max="8" width="22" customWidth="1"/>
    <col min="9" max="9" width="19" customWidth="1"/>
  </cols>
  <sheetData>
    <row r="1" spans="1:9" ht="16.8" x14ac:dyDescent="0.4">
      <c r="A1" s="4" t="s">
        <v>488</v>
      </c>
      <c r="B1" s="4" t="s">
        <v>489</v>
      </c>
      <c r="C1" s="4" t="s">
        <v>26</v>
      </c>
      <c r="D1" s="4" t="s">
        <v>27</v>
      </c>
      <c r="E1" s="4" t="s">
        <v>490</v>
      </c>
      <c r="F1" s="4" t="s">
        <v>491</v>
      </c>
      <c r="G1" s="4" t="s">
        <v>492</v>
      </c>
      <c r="H1" s="4" t="s">
        <v>493</v>
      </c>
      <c r="I1" s="4" t="s">
        <v>494</v>
      </c>
    </row>
    <row r="2" spans="1:9" ht="16.8" x14ac:dyDescent="0.4">
      <c r="A2" s="2" t="s">
        <v>33</v>
      </c>
      <c r="B2" s="2" t="s">
        <v>32</v>
      </c>
      <c r="C2" s="2" t="s">
        <v>34</v>
      </c>
      <c r="D2" s="2" t="s">
        <v>14</v>
      </c>
      <c r="E2" s="2">
        <v>123.49</v>
      </c>
      <c r="F2" s="2">
        <v>14.82</v>
      </c>
      <c r="G2" s="2">
        <v>2.2200000000000002</v>
      </c>
      <c r="H2" s="2">
        <v>106.45</v>
      </c>
      <c r="I2" s="2" t="s">
        <v>495</v>
      </c>
    </row>
    <row r="3" spans="1:9" ht="16.8" x14ac:dyDescent="0.4">
      <c r="A3" s="2" t="s">
        <v>37</v>
      </c>
      <c r="B3" s="2" t="s">
        <v>36</v>
      </c>
      <c r="C3" s="2" t="s">
        <v>34</v>
      </c>
      <c r="D3" s="2" t="s">
        <v>15</v>
      </c>
      <c r="E3" s="2">
        <v>148.72999999999999</v>
      </c>
      <c r="F3" s="2">
        <v>32.72</v>
      </c>
      <c r="G3" s="2">
        <v>4.91</v>
      </c>
      <c r="H3" s="2">
        <v>111.1</v>
      </c>
      <c r="I3" s="2" t="s">
        <v>495</v>
      </c>
    </row>
    <row r="4" spans="1:9" ht="16.8" x14ac:dyDescent="0.4">
      <c r="A4" s="2" t="s">
        <v>39</v>
      </c>
      <c r="B4" s="2" t="s">
        <v>38</v>
      </c>
      <c r="C4" s="2" t="s">
        <v>34</v>
      </c>
      <c r="D4" s="2" t="s">
        <v>13</v>
      </c>
      <c r="E4" s="2">
        <v>194.33</v>
      </c>
      <c r="F4" s="2">
        <v>29.15</v>
      </c>
      <c r="G4" s="2">
        <v>4.37</v>
      </c>
      <c r="H4" s="2">
        <v>160.81</v>
      </c>
      <c r="I4" s="2" t="s">
        <v>495</v>
      </c>
    </row>
    <row r="5" spans="1:9" ht="16.8" x14ac:dyDescent="0.4">
      <c r="A5" s="2" t="s">
        <v>41</v>
      </c>
      <c r="B5" s="2" t="s">
        <v>40</v>
      </c>
      <c r="C5" s="2" t="s">
        <v>34</v>
      </c>
      <c r="D5" s="2" t="s">
        <v>15</v>
      </c>
      <c r="E5" s="2">
        <v>181.89</v>
      </c>
      <c r="F5" s="2">
        <v>40.020000000000003</v>
      </c>
      <c r="G5" s="2">
        <v>6</v>
      </c>
      <c r="H5" s="2">
        <v>135.87</v>
      </c>
      <c r="I5" s="2" t="s">
        <v>495</v>
      </c>
    </row>
    <row r="6" spans="1:9" ht="16.8" x14ac:dyDescent="0.4">
      <c r="A6" s="2" t="s">
        <v>43</v>
      </c>
      <c r="B6" s="2" t="s">
        <v>42</v>
      </c>
      <c r="C6" s="2" t="s">
        <v>34</v>
      </c>
      <c r="D6" s="2" t="s">
        <v>15</v>
      </c>
      <c r="E6" s="2">
        <v>194.4</v>
      </c>
      <c r="F6" s="2">
        <v>42.77</v>
      </c>
      <c r="G6" s="2">
        <v>6.42</v>
      </c>
      <c r="H6" s="2">
        <v>145.21</v>
      </c>
      <c r="I6" s="2" t="s">
        <v>495</v>
      </c>
    </row>
    <row r="7" spans="1:9" ht="16.8" x14ac:dyDescent="0.4">
      <c r="A7" s="2" t="s">
        <v>45</v>
      </c>
      <c r="B7" s="2" t="s">
        <v>44</v>
      </c>
      <c r="C7" s="2" t="s">
        <v>34</v>
      </c>
      <c r="D7" s="2" t="s">
        <v>12</v>
      </c>
      <c r="E7" s="2">
        <v>83.91</v>
      </c>
      <c r="F7" s="2">
        <v>16.78</v>
      </c>
      <c r="G7" s="2">
        <v>2.52</v>
      </c>
      <c r="H7" s="2">
        <v>64.61</v>
      </c>
      <c r="I7" s="2" t="s">
        <v>495</v>
      </c>
    </row>
    <row r="8" spans="1:9" ht="16.8" x14ac:dyDescent="0.4">
      <c r="A8" s="2" t="s">
        <v>47</v>
      </c>
      <c r="B8" s="2" t="s">
        <v>46</v>
      </c>
      <c r="C8" s="2" t="s">
        <v>34</v>
      </c>
      <c r="D8" s="2" t="s">
        <v>13</v>
      </c>
      <c r="E8" s="2">
        <v>153.69999999999999</v>
      </c>
      <c r="F8" s="2">
        <v>23.05</v>
      </c>
      <c r="G8" s="2">
        <v>3.46</v>
      </c>
      <c r="H8" s="2">
        <v>127.19</v>
      </c>
      <c r="I8" s="2" t="s">
        <v>495</v>
      </c>
    </row>
    <row r="9" spans="1:9" ht="16.8" x14ac:dyDescent="0.4">
      <c r="A9" s="2" t="s">
        <v>49</v>
      </c>
      <c r="B9" s="2" t="s">
        <v>48</v>
      </c>
      <c r="C9" s="2" t="s">
        <v>34</v>
      </c>
      <c r="D9" s="2" t="s">
        <v>13</v>
      </c>
      <c r="E9" s="2">
        <v>186.11</v>
      </c>
      <c r="F9" s="2">
        <v>27.92</v>
      </c>
      <c r="G9" s="2">
        <v>4.1900000000000004</v>
      </c>
      <c r="H9" s="2">
        <v>154</v>
      </c>
      <c r="I9" s="2" t="s">
        <v>495</v>
      </c>
    </row>
    <row r="10" spans="1:9" ht="16.8" x14ac:dyDescent="0.4">
      <c r="A10" s="2" t="s">
        <v>51</v>
      </c>
      <c r="B10" s="2" t="s">
        <v>50</v>
      </c>
      <c r="C10" s="2" t="s">
        <v>34</v>
      </c>
      <c r="D10" s="2" t="s">
        <v>13</v>
      </c>
      <c r="E10" s="2">
        <v>88</v>
      </c>
      <c r="F10" s="2">
        <v>13.2</v>
      </c>
      <c r="G10" s="2">
        <v>1.98</v>
      </c>
      <c r="H10" s="2">
        <v>72.819999999999993</v>
      </c>
      <c r="I10" s="2" t="s">
        <v>495</v>
      </c>
    </row>
    <row r="11" spans="1:9" ht="16.8" x14ac:dyDescent="0.4">
      <c r="A11" s="2" t="s">
        <v>53</v>
      </c>
      <c r="B11" s="2" t="s">
        <v>52</v>
      </c>
      <c r="C11" s="2" t="s">
        <v>34</v>
      </c>
      <c r="D11" s="2" t="s">
        <v>15</v>
      </c>
      <c r="E11" s="2">
        <v>76.739999999999995</v>
      </c>
      <c r="F11" s="2">
        <v>16.88</v>
      </c>
      <c r="G11" s="2">
        <v>2.5299999999999998</v>
      </c>
      <c r="H11" s="2">
        <v>57.33</v>
      </c>
      <c r="I11" s="2" t="s">
        <v>495</v>
      </c>
    </row>
    <row r="12" spans="1:9" ht="16.8" x14ac:dyDescent="0.4">
      <c r="A12" s="2" t="s">
        <v>55</v>
      </c>
      <c r="B12" s="2" t="s">
        <v>54</v>
      </c>
      <c r="C12" s="2" t="s">
        <v>34</v>
      </c>
      <c r="D12" s="2" t="s">
        <v>14</v>
      </c>
      <c r="E12" s="2">
        <v>246.26</v>
      </c>
      <c r="F12" s="2">
        <v>29.55</v>
      </c>
      <c r="G12" s="2">
        <v>4.43</v>
      </c>
      <c r="H12" s="2">
        <v>197.28</v>
      </c>
      <c r="I12" s="2" t="s">
        <v>495</v>
      </c>
    </row>
    <row r="13" spans="1:9" ht="16.8" x14ac:dyDescent="0.4">
      <c r="A13" s="2" t="s">
        <v>57</v>
      </c>
      <c r="B13" s="2" t="s">
        <v>56</v>
      </c>
      <c r="C13" s="2" t="s">
        <v>34</v>
      </c>
      <c r="D13" s="2" t="s">
        <v>13</v>
      </c>
      <c r="E13" s="2">
        <v>133.63999999999999</v>
      </c>
      <c r="F13" s="2">
        <v>20.05</v>
      </c>
      <c r="G13" s="2">
        <v>3.01</v>
      </c>
      <c r="H13" s="2">
        <v>110.58</v>
      </c>
      <c r="I13" s="2" t="s">
        <v>495</v>
      </c>
    </row>
    <row r="14" spans="1:9" ht="16.8" x14ac:dyDescent="0.4">
      <c r="A14" s="2" t="s">
        <v>59</v>
      </c>
      <c r="B14" s="2" t="s">
        <v>58</v>
      </c>
      <c r="C14" s="2" t="s">
        <v>34</v>
      </c>
      <c r="D14" s="2" t="s">
        <v>15</v>
      </c>
      <c r="E14" s="2">
        <v>85.289999999999992</v>
      </c>
      <c r="F14" s="2">
        <v>18.760000000000002</v>
      </c>
      <c r="G14" s="2">
        <v>2.81</v>
      </c>
      <c r="H14" s="2">
        <v>63.72</v>
      </c>
      <c r="I14" s="2" t="s">
        <v>495</v>
      </c>
    </row>
    <row r="15" spans="1:9" ht="16.8" x14ac:dyDescent="0.4">
      <c r="A15" s="2" t="s">
        <v>61</v>
      </c>
      <c r="B15" s="2" t="s">
        <v>60</v>
      </c>
      <c r="C15" s="2" t="s">
        <v>34</v>
      </c>
      <c r="D15" s="2" t="s">
        <v>12</v>
      </c>
      <c r="E15" s="2">
        <v>249.21</v>
      </c>
      <c r="F15" s="2">
        <v>49.84</v>
      </c>
      <c r="G15" s="2">
        <v>7.48</v>
      </c>
      <c r="H15" s="2">
        <v>191.89</v>
      </c>
      <c r="I15" s="2" t="s">
        <v>495</v>
      </c>
    </row>
    <row r="16" spans="1:9" ht="16.8" x14ac:dyDescent="0.4">
      <c r="A16" s="2" t="s">
        <v>63</v>
      </c>
      <c r="B16" s="2" t="s">
        <v>62</v>
      </c>
      <c r="C16" s="2" t="s">
        <v>34</v>
      </c>
      <c r="D16" s="2" t="s">
        <v>14</v>
      </c>
      <c r="E16" s="2">
        <v>218.47</v>
      </c>
      <c r="F16" s="2">
        <v>26.22</v>
      </c>
      <c r="G16" s="2">
        <v>3.93</v>
      </c>
      <c r="H16" s="2">
        <v>188.32</v>
      </c>
      <c r="I16" s="2" t="s">
        <v>495</v>
      </c>
    </row>
    <row r="17" spans="1:9" ht="16.8" x14ac:dyDescent="0.4">
      <c r="A17" s="2" t="s">
        <v>67</v>
      </c>
      <c r="B17" s="2" t="s">
        <v>66</v>
      </c>
      <c r="C17" s="2" t="s">
        <v>68</v>
      </c>
      <c r="D17" s="2" t="s">
        <v>14</v>
      </c>
      <c r="E17" s="2">
        <v>225.35</v>
      </c>
      <c r="F17" s="2">
        <v>27.04</v>
      </c>
      <c r="G17" s="2">
        <v>4.0599999999999996</v>
      </c>
      <c r="H17" s="2">
        <v>194.25</v>
      </c>
      <c r="I17" s="2" t="s">
        <v>495</v>
      </c>
    </row>
    <row r="18" spans="1:9" ht="16.8" x14ac:dyDescent="0.4">
      <c r="A18" s="2" t="s">
        <v>70</v>
      </c>
      <c r="B18" s="2" t="s">
        <v>69</v>
      </c>
      <c r="C18" s="2" t="s">
        <v>68</v>
      </c>
      <c r="D18" s="2" t="s">
        <v>15</v>
      </c>
      <c r="E18" s="2">
        <v>79.63</v>
      </c>
      <c r="F18" s="2">
        <v>17.52</v>
      </c>
      <c r="G18" s="2">
        <v>2.63</v>
      </c>
      <c r="H18" s="2">
        <v>59.48</v>
      </c>
      <c r="I18" s="2" t="s">
        <v>495</v>
      </c>
    </row>
    <row r="19" spans="1:9" ht="16.8" x14ac:dyDescent="0.4">
      <c r="A19" s="2" t="s">
        <v>72</v>
      </c>
      <c r="B19" s="2" t="s">
        <v>71</v>
      </c>
      <c r="C19" s="2" t="s">
        <v>68</v>
      </c>
      <c r="D19" s="2" t="s">
        <v>11</v>
      </c>
      <c r="E19" s="2">
        <v>98.56</v>
      </c>
      <c r="F19" s="2">
        <v>17.739999999999998</v>
      </c>
      <c r="G19" s="2">
        <v>2.66</v>
      </c>
      <c r="H19" s="2">
        <v>78.16</v>
      </c>
      <c r="I19" s="2" t="s">
        <v>495</v>
      </c>
    </row>
    <row r="20" spans="1:9" ht="16.8" x14ac:dyDescent="0.4">
      <c r="A20" s="2" t="s">
        <v>74</v>
      </c>
      <c r="B20" s="2" t="s">
        <v>73</v>
      </c>
      <c r="C20" s="2" t="s">
        <v>68</v>
      </c>
      <c r="D20" s="2" t="s">
        <v>14</v>
      </c>
      <c r="E20" s="2">
        <v>187.08</v>
      </c>
      <c r="F20" s="2">
        <v>22.45</v>
      </c>
      <c r="G20" s="2">
        <v>3.37</v>
      </c>
      <c r="H20" s="2">
        <v>161.26</v>
      </c>
      <c r="I20" s="2" t="s">
        <v>495</v>
      </c>
    </row>
    <row r="21" spans="1:9" ht="16.8" x14ac:dyDescent="0.4">
      <c r="A21" s="2" t="s">
        <v>76</v>
      </c>
      <c r="B21" s="2" t="s">
        <v>75</v>
      </c>
      <c r="C21" s="2" t="s">
        <v>68</v>
      </c>
      <c r="D21" s="2" t="s">
        <v>12</v>
      </c>
      <c r="E21" s="2">
        <v>217.8</v>
      </c>
      <c r="F21" s="2">
        <v>43.56</v>
      </c>
      <c r="G21" s="2">
        <v>6.53</v>
      </c>
      <c r="H21" s="2">
        <v>167.71</v>
      </c>
      <c r="I21" s="2" t="s">
        <v>495</v>
      </c>
    </row>
    <row r="22" spans="1:9" ht="16.8" x14ac:dyDescent="0.4">
      <c r="A22" s="2" t="s">
        <v>78</v>
      </c>
      <c r="B22" s="2" t="s">
        <v>77</v>
      </c>
      <c r="C22" s="2" t="s">
        <v>68</v>
      </c>
      <c r="D22" s="2" t="s">
        <v>15</v>
      </c>
      <c r="E22" s="2">
        <v>219.83</v>
      </c>
      <c r="F22" s="2">
        <v>48.36</v>
      </c>
      <c r="G22" s="2">
        <v>7.25</v>
      </c>
      <c r="H22" s="2">
        <v>164.22</v>
      </c>
      <c r="I22" s="2" t="s">
        <v>495</v>
      </c>
    </row>
    <row r="23" spans="1:9" ht="16.8" x14ac:dyDescent="0.4">
      <c r="A23" s="2" t="s">
        <v>80</v>
      </c>
      <c r="B23" s="2" t="s">
        <v>79</v>
      </c>
      <c r="C23" s="2" t="s">
        <v>68</v>
      </c>
      <c r="D23" s="2" t="s">
        <v>14</v>
      </c>
      <c r="E23" s="2">
        <v>124.95</v>
      </c>
      <c r="F23" s="2">
        <v>14.99</v>
      </c>
      <c r="G23" s="2">
        <v>2.25</v>
      </c>
      <c r="H23" s="2">
        <v>107.71</v>
      </c>
      <c r="I23" s="2" t="s">
        <v>495</v>
      </c>
    </row>
    <row r="24" spans="1:9" ht="16.8" x14ac:dyDescent="0.4">
      <c r="A24" s="2" t="s">
        <v>82</v>
      </c>
      <c r="B24" s="2" t="s">
        <v>81</v>
      </c>
      <c r="C24" s="2" t="s">
        <v>68</v>
      </c>
      <c r="D24" s="2" t="s">
        <v>11</v>
      </c>
      <c r="E24" s="2">
        <v>203.79</v>
      </c>
      <c r="F24" s="2">
        <v>36.68</v>
      </c>
      <c r="G24" s="2">
        <v>5.5</v>
      </c>
      <c r="H24" s="2">
        <v>161.61000000000001</v>
      </c>
      <c r="I24" s="2" t="s">
        <v>495</v>
      </c>
    </row>
    <row r="25" spans="1:9" ht="16.8" x14ac:dyDescent="0.4">
      <c r="A25" s="2" t="s">
        <v>84</v>
      </c>
      <c r="B25" s="2" t="s">
        <v>83</v>
      </c>
      <c r="C25" s="2" t="s">
        <v>68</v>
      </c>
      <c r="D25" s="2" t="s">
        <v>11</v>
      </c>
      <c r="E25" s="2">
        <v>196.82</v>
      </c>
      <c r="F25" s="2">
        <v>35.43</v>
      </c>
      <c r="G25" s="2">
        <v>5.31</v>
      </c>
      <c r="H25" s="2">
        <v>156.08000000000001</v>
      </c>
      <c r="I25" s="2" t="s">
        <v>495</v>
      </c>
    </row>
    <row r="26" spans="1:9" ht="16.8" x14ac:dyDescent="0.4">
      <c r="A26" s="2" t="s">
        <v>86</v>
      </c>
      <c r="B26" s="2" t="s">
        <v>85</v>
      </c>
      <c r="C26" s="2" t="s">
        <v>68</v>
      </c>
      <c r="D26" s="2" t="s">
        <v>13</v>
      </c>
      <c r="E26" s="2">
        <v>236.48</v>
      </c>
      <c r="F26" s="2">
        <v>35.47</v>
      </c>
      <c r="G26" s="2">
        <v>5.32</v>
      </c>
      <c r="H26" s="2">
        <v>180.69</v>
      </c>
      <c r="I26" s="2" t="s">
        <v>495</v>
      </c>
    </row>
    <row r="27" spans="1:9" ht="16.8" x14ac:dyDescent="0.4">
      <c r="A27" s="2" t="s">
        <v>88</v>
      </c>
      <c r="B27" s="2" t="s">
        <v>87</v>
      </c>
      <c r="C27" s="2" t="s">
        <v>68</v>
      </c>
      <c r="D27" s="2" t="s">
        <v>13</v>
      </c>
      <c r="E27" s="2">
        <v>184.43</v>
      </c>
      <c r="F27" s="2">
        <v>27.66</v>
      </c>
      <c r="G27" s="2">
        <v>4.1500000000000004</v>
      </c>
      <c r="H27" s="2">
        <v>152.62</v>
      </c>
      <c r="I27" s="2" t="s">
        <v>495</v>
      </c>
    </row>
    <row r="28" spans="1:9" ht="16.8" x14ac:dyDescent="0.4">
      <c r="A28" s="2" t="s">
        <v>90</v>
      </c>
      <c r="B28" s="2" t="s">
        <v>89</v>
      </c>
      <c r="C28" s="2" t="s">
        <v>68</v>
      </c>
      <c r="D28" s="2" t="s">
        <v>12</v>
      </c>
      <c r="E28" s="2">
        <v>162.44</v>
      </c>
      <c r="F28" s="2">
        <v>32.49</v>
      </c>
      <c r="G28" s="2">
        <v>4.87</v>
      </c>
      <c r="H28" s="2">
        <v>125.08</v>
      </c>
      <c r="I28" s="2" t="s">
        <v>495</v>
      </c>
    </row>
    <row r="29" spans="1:9" ht="16.8" x14ac:dyDescent="0.4">
      <c r="A29" s="2" t="s">
        <v>92</v>
      </c>
      <c r="B29" s="2" t="s">
        <v>91</v>
      </c>
      <c r="C29" s="2" t="s">
        <v>68</v>
      </c>
      <c r="D29" s="2" t="s">
        <v>14</v>
      </c>
      <c r="E29" s="2">
        <v>145.75</v>
      </c>
      <c r="F29" s="2">
        <v>17.489999999999998</v>
      </c>
      <c r="G29" s="2">
        <v>2.62</v>
      </c>
      <c r="H29" s="2">
        <v>125.64</v>
      </c>
      <c r="I29" s="2" t="s">
        <v>495</v>
      </c>
    </row>
    <row r="30" spans="1:9" ht="16.8" x14ac:dyDescent="0.4">
      <c r="A30" s="2" t="s">
        <v>94</v>
      </c>
      <c r="B30" s="2" t="s">
        <v>93</v>
      </c>
      <c r="C30" s="2" t="s">
        <v>68</v>
      </c>
      <c r="D30" s="2" t="s">
        <v>14</v>
      </c>
      <c r="E30" s="2">
        <v>118.18</v>
      </c>
      <c r="F30" s="2">
        <v>14.18</v>
      </c>
      <c r="G30" s="2">
        <v>2.13</v>
      </c>
      <c r="H30" s="2">
        <v>101.87</v>
      </c>
      <c r="I30" s="2" t="s">
        <v>495</v>
      </c>
    </row>
    <row r="31" spans="1:9" ht="16.8" x14ac:dyDescent="0.4">
      <c r="A31" s="2" t="s">
        <v>98</v>
      </c>
      <c r="B31" s="2" t="s">
        <v>97</v>
      </c>
      <c r="C31" s="2" t="s">
        <v>68</v>
      </c>
      <c r="D31" s="2" t="s">
        <v>14</v>
      </c>
      <c r="E31" s="2">
        <v>244.47</v>
      </c>
      <c r="F31" s="2">
        <v>29.34</v>
      </c>
      <c r="G31" s="2">
        <v>4.4000000000000004</v>
      </c>
      <c r="H31" s="2">
        <v>210.73</v>
      </c>
      <c r="I31" s="2" t="s">
        <v>495</v>
      </c>
    </row>
    <row r="32" spans="1:9" ht="16.8" x14ac:dyDescent="0.4">
      <c r="A32" s="2" t="s">
        <v>100</v>
      </c>
      <c r="B32" s="2" t="s">
        <v>99</v>
      </c>
      <c r="C32" s="2" t="s">
        <v>101</v>
      </c>
      <c r="D32" s="2" t="s">
        <v>14</v>
      </c>
      <c r="E32" s="2">
        <v>89.66</v>
      </c>
      <c r="F32" s="2">
        <v>10.76</v>
      </c>
      <c r="G32" s="2">
        <v>1.61</v>
      </c>
      <c r="H32" s="2">
        <v>77.290000000000006</v>
      </c>
      <c r="I32" s="2" t="s">
        <v>495</v>
      </c>
    </row>
    <row r="33" spans="1:9" ht="16.8" x14ac:dyDescent="0.4">
      <c r="A33" s="2" t="s">
        <v>103</v>
      </c>
      <c r="B33" s="2" t="s">
        <v>102</v>
      </c>
      <c r="C33" s="2" t="s">
        <v>101</v>
      </c>
      <c r="D33" s="2" t="s">
        <v>11</v>
      </c>
      <c r="E33" s="2">
        <v>93.72</v>
      </c>
      <c r="F33" s="2">
        <v>16.87</v>
      </c>
      <c r="G33" s="2">
        <v>2.5299999999999998</v>
      </c>
      <c r="H33" s="2">
        <v>74.319999999999993</v>
      </c>
      <c r="I33" s="2" t="s">
        <v>495</v>
      </c>
    </row>
    <row r="34" spans="1:9" ht="16.8" x14ac:dyDescent="0.4">
      <c r="A34" s="2" t="s">
        <v>105</v>
      </c>
      <c r="B34" s="2" t="s">
        <v>104</v>
      </c>
      <c r="C34" s="2" t="s">
        <v>101</v>
      </c>
      <c r="D34" s="2" t="s">
        <v>13</v>
      </c>
      <c r="E34" s="2">
        <v>141.97999999999999</v>
      </c>
      <c r="F34" s="2">
        <v>21.3</v>
      </c>
      <c r="G34" s="2">
        <v>3.2</v>
      </c>
      <c r="H34" s="2">
        <v>117.48</v>
      </c>
      <c r="I34" s="2" t="s">
        <v>495</v>
      </c>
    </row>
    <row r="35" spans="1:9" ht="16.8" x14ac:dyDescent="0.4">
      <c r="A35" s="2" t="s">
        <v>107</v>
      </c>
      <c r="B35" s="2" t="s">
        <v>106</v>
      </c>
      <c r="C35" s="2" t="s">
        <v>101</v>
      </c>
      <c r="D35" s="2" t="s">
        <v>15</v>
      </c>
      <c r="E35" s="2">
        <v>120.75</v>
      </c>
      <c r="F35" s="2">
        <v>26.56</v>
      </c>
      <c r="G35" s="2">
        <v>3.98</v>
      </c>
      <c r="H35" s="2">
        <v>90.21</v>
      </c>
      <c r="I35" s="2" t="s">
        <v>495</v>
      </c>
    </row>
    <row r="36" spans="1:9" ht="16.8" x14ac:dyDescent="0.4">
      <c r="A36" s="2" t="s">
        <v>109</v>
      </c>
      <c r="B36" s="2" t="s">
        <v>108</v>
      </c>
      <c r="C36" s="2" t="s">
        <v>101</v>
      </c>
      <c r="D36" s="2" t="s">
        <v>13</v>
      </c>
      <c r="E36" s="2">
        <v>223.96</v>
      </c>
      <c r="F36" s="2">
        <v>33.590000000000003</v>
      </c>
      <c r="G36" s="2">
        <v>5.04</v>
      </c>
      <c r="H36" s="2">
        <v>185.33</v>
      </c>
      <c r="I36" s="2" t="s">
        <v>495</v>
      </c>
    </row>
    <row r="37" spans="1:9" ht="16.8" x14ac:dyDescent="0.4">
      <c r="A37" s="2" t="s">
        <v>111</v>
      </c>
      <c r="B37" s="2" t="s">
        <v>110</v>
      </c>
      <c r="C37" s="2" t="s">
        <v>101</v>
      </c>
      <c r="D37" s="2" t="s">
        <v>15</v>
      </c>
      <c r="E37" s="2">
        <v>69.25</v>
      </c>
      <c r="F37" s="2">
        <v>15.24</v>
      </c>
      <c r="G37" s="2">
        <v>2.29</v>
      </c>
      <c r="H37" s="2">
        <v>51.72</v>
      </c>
      <c r="I37" s="2" t="s">
        <v>495</v>
      </c>
    </row>
    <row r="38" spans="1:9" ht="16.8" x14ac:dyDescent="0.4">
      <c r="A38" s="2" t="s">
        <v>113</v>
      </c>
      <c r="B38" s="2" t="s">
        <v>112</v>
      </c>
      <c r="C38" s="2" t="s">
        <v>101</v>
      </c>
      <c r="D38" s="2" t="s">
        <v>11</v>
      </c>
      <c r="E38" s="2">
        <v>43.8</v>
      </c>
      <c r="F38" s="2">
        <v>7.88</v>
      </c>
      <c r="G38" s="2">
        <v>1.18</v>
      </c>
      <c r="H38" s="2">
        <v>34.74</v>
      </c>
      <c r="I38" s="2" t="s">
        <v>495</v>
      </c>
    </row>
    <row r="39" spans="1:9" ht="16.8" x14ac:dyDescent="0.4">
      <c r="A39" s="2" t="s">
        <v>115</v>
      </c>
      <c r="B39" s="2" t="s">
        <v>114</v>
      </c>
      <c r="C39" s="2" t="s">
        <v>101</v>
      </c>
      <c r="D39" s="2" t="s">
        <v>12</v>
      </c>
      <c r="E39" s="2">
        <v>143.72</v>
      </c>
      <c r="F39" s="2">
        <v>28.74</v>
      </c>
      <c r="G39" s="2">
        <v>4.3099999999999996</v>
      </c>
      <c r="H39" s="2">
        <v>110.67</v>
      </c>
      <c r="I39" s="2" t="s">
        <v>495</v>
      </c>
    </row>
    <row r="40" spans="1:9" ht="16.8" x14ac:dyDescent="0.4">
      <c r="A40" s="2" t="s">
        <v>117</v>
      </c>
      <c r="B40" s="2" t="s">
        <v>116</v>
      </c>
      <c r="C40" s="2" t="s">
        <v>101</v>
      </c>
      <c r="D40" s="2" t="s">
        <v>14</v>
      </c>
      <c r="E40" s="2">
        <v>77.55</v>
      </c>
      <c r="F40" s="2">
        <v>9.31</v>
      </c>
      <c r="G40" s="2">
        <v>1.4</v>
      </c>
      <c r="H40" s="2">
        <v>66.84</v>
      </c>
      <c r="I40" s="2" t="s">
        <v>495</v>
      </c>
    </row>
    <row r="41" spans="1:9" ht="16.8" x14ac:dyDescent="0.4">
      <c r="A41" s="2" t="s">
        <v>119</v>
      </c>
      <c r="B41" s="2" t="s">
        <v>118</v>
      </c>
      <c r="C41" s="2" t="s">
        <v>101</v>
      </c>
      <c r="D41" s="2" t="s">
        <v>11</v>
      </c>
      <c r="E41" s="2">
        <v>105.26</v>
      </c>
      <c r="F41" s="2">
        <v>18.95</v>
      </c>
      <c r="G41" s="2">
        <v>2.84</v>
      </c>
      <c r="H41" s="2">
        <v>83.47</v>
      </c>
      <c r="I41" s="2" t="s">
        <v>495</v>
      </c>
    </row>
    <row r="42" spans="1:9" ht="16.8" x14ac:dyDescent="0.4">
      <c r="A42" s="2" t="s">
        <v>121</v>
      </c>
      <c r="B42" s="2" t="s">
        <v>120</v>
      </c>
      <c r="C42" s="2" t="s">
        <v>101</v>
      </c>
      <c r="D42" s="2" t="s">
        <v>14</v>
      </c>
      <c r="E42" s="2">
        <v>196.28</v>
      </c>
      <c r="F42" s="2">
        <v>23.55</v>
      </c>
      <c r="G42" s="2">
        <v>3.53</v>
      </c>
      <c r="H42" s="2">
        <v>169.2</v>
      </c>
      <c r="I42" s="2" t="s">
        <v>495</v>
      </c>
    </row>
    <row r="43" spans="1:9" ht="16.8" x14ac:dyDescent="0.4">
      <c r="A43" s="2" t="s">
        <v>123</v>
      </c>
      <c r="B43" s="2" t="s">
        <v>122</v>
      </c>
      <c r="C43" s="2" t="s">
        <v>101</v>
      </c>
      <c r="D43" s="2" t="s">
        <v>12</v>
      </c>
      <c r="E43" s="2">
        <v>191.4</v>
      </c>
      <c r="F43" s="2">
        <v>38.28</v>
      </c>
      <c r="G43" s="2">
        <v>5.74</v>
      </c>
      <c r="H43" s="2">
        <v>147.38</v>
      </c>
      <c r="I43" s="2" t="s">
        <v>495</v>
      </c>
    </row>
    <row r="44" spans="1:9" ht="16.8" x14ac:dyDescent="0.4">
      <c r="A44" s="2" t="s">
        <v>125</v>
      </c>
      <c r="B44" s="2" t="s">
        <v>124</v>
      </c>
      <c r="C44" s="2" t="s">
        <v>101</v>
      </c>
      <c r="D44" s="2" t="s">
        <v>12</v>
      </c>
      <c r="E44" s="2">
        <v>104.69</v>
      </c>
      <c r="F44" s="2">
        <v>20.94</v>
      </c>
      <c r="G44" s="2">
        <v>3.14</v>
      </c>
      <c r="H44" s="2">
        <v>80.61</v>
      </c>
      <c r="I44" s="2" t="s">
        <v>495</v>
      </c>
    </row>
    <row r="45" spans="1:9" ht="16.8" x14ac:dyDescent="0.4">
      <c r="A45" s="2" t="s">
        <v>129</v>
      </c>
      <c r="B45" s="2" t="s">
        <v>128</v>
      </c>
      <c r="C45" s="2" t="s">
        <v>101</v>
      </c>
      <c r="D45" s="2" t="s">
        <v>12</v>
      </c>
      <c r="E45" s="2">
        <v>132.16999999999999</v>
      </c>
      <c r="F45" s="2">
        <v>26.43</v>
      </c>
      <c r="G45" s="2">
        <v>3.96</v>
      </c>
      <c r="H45" s="2">
        <v>101.78</v>
      </c>
      <c r="I45" s="2" t="s">
        <v>495</v>
      </c>
    </row>
    <row r="46" spans="1:9" ht="16.8" x14ac:dyDescent="0.4">
      <c r="A46" s="2" t="s">
        <v>131</v>
      </c>
      <c r="B46" s="2" t="s">
        <v>130</v>
      </c>
      <c r="C46" s="2" t="s">
        <v>132</v>
      </c>
      <c r="D46" s="2" t="s">
        <v>15</v>
      </c>
      <c r="E46" s="2">
        <v>156.27000000000001</v>
      </c>
      <c r="F46" s="2">
        <v>34.380000000000003</v>
      </c>
      <c r="G46" s="2">
        <v>5.16</v>
      </c>
      <c r="H46" s="2">
        <v>116.73</v>
      </c>
      <c r="I46" s="2" t="s">
        <v>495</v>
      </c>
    </row>
    <row r="47" spans="1:9" ht="16.8" x14ac:dyDescent="0.4">
      <c r="A47" s="2" t="s">
        <v>134</v>
      </c>
      <c r="B47" s="2" t="s">
        <v>133</v>
      </c>
      <c r="C47" s="2" t="s">
        <v>132</v>
      </c>
      <c r="D47" s="2" t="s">
        <v>12</v>
      </c>
      <c r="E47" s="2">
        <v>92.6</v>
      </c>
      <c r="F47" s="2">
        <v>18.52</v>
      </c>
      <c r="G47" s="2">
        <v>2.78</v>
      </c>
      <c r="H47" s="2">
        <v>71.3</v>
      </c>
      <c r="I47" s="2" t="s">
        <v>495</v>
      </c>
    </row>
    <row r="48" spans="1:9" ht="16.8" x14ac:dyDescent="0.4">
      <c r="A48" s="2" t="s">
        <v>136</v>
      </c>
      <c r="B48" s="2" t="s">
        <v>135</v>
      </c>
      <c r="C48" s="2" t="s">
        <v>132</v>
      </c>
      <c r="D48" s="2" t="s">
        <v>14</v>
      </c>
      <c r="E48" s="2">
        <v>147.47999999999999</v>
      </c>
      <c r="F48" s="2">
        <v>17.7</v>
      </c>
      <c r="G48" s="2">
        <v>2.66</v>
      </c>
      <c r="H48" s="2">
        <v>127.12</v>
      </c>
      <c r="I48" s="2" t="s">
        <v>495</v>
      </c>
    </row>
    <row r="49" spans="1:9" ht="16.8" x14ac:dyDescent="0.4">
      <c r="A49" s="2" t="s">
        <v>138</v>
      </c>
      <c r="B49" s="2" t="s">
        <v>137</v>
      </c>
      <c r="C49" s="2" t="s">
        <v>132</v>
      </c>
      <c r="D49" s="2" t="s">
        <v>14</v>
      </c>
      <c r="E49" s="2">
        <v>245.57</v>
      </c>
      <c r="F49" s="2">
        <v>29.47</v>
      </c>
      <c r="G49" s="2">
        <v>4.42</v>
      </c>
      <c r="H49" s="2">
        <v>196.68</v>
      </c>
      <c r="I49" s="2" t="s">
        <v>495</v>
      </c>
    </row>
    <row r="50" spans="1:9" ht="16.8" x14ac:dyDescent="0.4">
      <c r="A50" s="2" t="s">
        <v>140</v>
      </c>
      <c r="B50" s="2" t="s">
        <v>139</v>
      </c>
      <c r="C50" s="2" t="s">
        <v>132</v>
      </c>
      <c r="D50" s="2" t="s">
        <v>14</v>
      </c>
      <c r="E50" s="2">
        <v>142.22</v>
      </c>
      <c r="F50" s="2">
        <v>17.07</v>
      </c>
      <c r="G50" s="2">
        <v>2.56</v>
      </c>
      <c r="H50" s="2">
        <v>122.59</v>
      </c>
      <c r="I50" s="2" t="s">
        <v>495</v>
      </c>
    </row>
    <row r="51" spans="1:9" ht="16.8" x14ac:dyDescent="0.4">
      <c r="A51" s="2" t="s">
        <v>142</v>
      </c>
      <c r="B51" s="2" t="s">
        <v>141</v>
      </c>
      <c r="C51" s="2" t="s">
        <v>132</v>
      </c>
      <c r="D51" s="2" t="s">
        <v>14</v>
      </c>
      <c r="E51" s="2">
        <v>207.25</v>
      </c>
      <c r="F51" s="2">
        <v>24.87</v>
      </c>
      <c r="G51" s="2">
        <v>3.73</v>
      </c>
      <c r="H51" s="2">
        <v>178.65</v>
      </c>
      <c r="I51" s="2" t="s">
        <v>495</v>
      </c>
    </row>
    <row r="52" spans="1:9" ht="16.8" x14ac:dyDescent="0.4">
      <c r="A52" s="2" t="s">
        <v>144</v>
      </c>
      <c r="B52" s="2" t="s">
        <v>143</v>
      </c>
      <c r="C52" s="2" t="s">
        <v>132</v>
      </c>
      <c r="D52" s="2" t="s">
        <v>15</v>
      </c>
      <c r="E52" s="2">
        <v>131.22</v>
      </c>
      <c r="F52" s="2">
        <v>28.87</v>
      </c>
      <c r="G52" s="2">
        <v>4.33</v>
      </c>
      <c r="H52" s="2">
        <v>98.02</v>
      </c>
      <c r="I52" s="2" t="s">
        <v>495</v>
      </c>
    </row>
    <row r="53" spans="1:9" ht="16.8" x14ac:dyDescent="0.4">
      <c r="A53" s="2" t="s">
        <v>146</v>
      </c>
      <c r="B53" s="2" t="s">
        <v>145</v>
      </c>
      <c r="C53" s="2" t="s">
        <v>132</v>
      </c>
      <c r="D53" s="2" t="s">
        <v>13</v>
      </c>
      <c r="E53" s="2">
        <v>113.52</v>
      </c>
      <c r="F53" s="2">
        <v>17.03</v>
      </c>
      <c r="G53" s="2">
        <v>2.5499999999999998</v>
      </c>
      <c r="H53" s="2">
        <v>93.94</v>
      </c>
      <c r="I53" s="2" t="s">
        <v>495</v>
      </c>
    </row>
    <row r="54" spans="1:9" ht="16.8" x14ac:dyDescent="0.4">
      <c r="A54" s="2" t="s">
        <v>148</v>
      </c>
      <c r="B54" s="2" t="s">
        <v>147</v>
      </c>
      <c r="C54" s="2" t="s">
        <v>132</v>
      </c>
      <c r="D54" s="2" t="s">
        <v>11</v>
      </c>
      <c r="E54" s="2">
        <v>157.91999999999999</v>
      </c>
      <c r="F54" s="2">
        <v>28.43</v>
      </c>
      <c r="G54" s="2">
        <v>4.26</v>
      </c>
      <c r="H54" s="2">
        <v>125.23</v>
      </c>
      <c r="I54" s="2" t="s">
        <v>495</v>
      </c>
    </row>
    <row r="55" spans="1:9" ht="16.8" x14ac:dyDescent="0.4">
      <c r="A55" s="2" t="s">
        <v>150</v>
      </c>
      <c r="B55" s="2" t="s">
        <v>149</v>
      </c>
      <c r="C55" s="2" t="s">
        <v>132</v>
      </c>
      <c r="D55" s="2" t="s">
        <v>14</v>
      </c>
      <c r="E55" s="2">
        <v>180.47</v>
      </c>
      <c r="F55" s="2">
        <v>21.66</v>
      </c>
      <c r="G55" s="2">
        <v>3.25</v>
      </c>
      <c r="H55" s="2">
        <v>155.56</v>
      </c>
      <c r="I55" s="2" t="s">
        <v>495</v>
      </c>
    </row>
    <row r="56" spans="1:9" ht="16.8" x14ac:dyDescent="0.4">
      <c r="A56" s="2" t="s">
        <v>152</v>
      </c>
      <c r="B56" s="2" t="s">
        <v>151</v>
      </c>
      <c r="C56" s="2" t="s">
        <v>132</v>
      </c>
      <c r="D56" s="2" t="s">
        <v>12</v>
      </c>
      <c r="E56" s="2">
        <v>221.48</v>
      </c>
      <c r="F56" s="2">
        <v>44.3</v>
      </c>
      <c r="G56" s="2">
        <v>6.64</v>
      </c>
      <c r="H56" s="2">
        <v>170.54</v>
      </c>
      <c r="I56" s="2" t="s">
        <v>495</v>
      </c>
    </row>
    <row r="57" spans="1:9" ht="16.8" x14ac:dyDescent="0.4">
      <c r="A57" s="2" t="s">
        <v>154</v>
      </c>
      <c r="B57" s="2" t="s">
        <v>153</v>
      </c>
      <c r="C57" s="2" t="s">
        <v>132</v>
      </c>
      <c r="D57" s="2" t="s">
        <v>14</v>
      </c>
      <c r="E57" s="2">
        <v>88.34</v>
      </c>
      <c r="F57" s="2">
        <v>10.6</v>
      </c>
      <c r="G57" s="2">
        <v>1.59</v>
      </c>
      <c r="H57" s="2">
        <v>76.150000000000006</v>
      </c>
      <c r="I57" s="2" t="s">
        <v>495</v>
      </c>
    </row>
    <row r="58" spans="1:9" ht="16.8" x14ac:dyDescent="0.4">
      <c r="A58" s="2" t="s">
        <v>156</v>
      </c>
      <c r="B58" s="2" t="s">
        <v>155</v>
      </c>
      <c r="C58" s="2" t="s">
        <v>132</v>
      </c>
      <c r="D58" s="2" t="s">
        <v>12</v>
      </c>
      <c r="E58" s="2">
        <v>144.83000000000001</v>
      </c>
      <c r="F58" s="2">
        <v>28.97</v>
      </c>
      <c r="G58" s="2">
        <v>4.3499999999999996</v>
      </c>
      <c r="H58" s="2">
        <v>111.51</v>
      </c>
      <c r="I58" s="2" t="s">
        <v>495</v>
      </c>
    </row>
    <row r="59" spans="1:9" ht="16.8" x14ac:dyDescent="0.4">
      <c r="A59" s="2" t="s">
        <v>158</v>
      </c>
      <c r="B59" s="2" t="s">
        <v>157</v>
      </c>
      <c r="C59" s="2" t="s">
        <v>132</v>
      </c>
      <c r="D59" s="2" t="s">
        <v>12</v>
      </c>
      <c r="E59" s="2">
        <v>160.12</v>
      </c>
      <c r="F59" s="2">
        <v>32.020000000000003</v>
      </c>
      <c r="G59" s="2">
        <v>4.8</v>
      </c>
      <c r="H59" s="2">
        <v>123.3</v>
      </c>
      <c r="I59" s="2" t="s">
        <v>495</v>
      </c>
    </row>
    <row r="60" spans="1:9" ht="16.8" x14ac:dyDescent="0.4">
      <c r="A60" s="2" t="s">
        <v>160</v>
      </c>
      <c r="B60" s="2" t="s">
        <v>159</v>
      </c>
      <c r="C60" s="2" t="s">
        <v>132</v>
      </c>
      <c r="D60" s="2" t="s">
        <v>14</v>
      </c>
      <c r="E60" s="2">
        <v>201.4</v>
      </c>
      <c r="F60" s="2">
        <v>24.17</v>
      </c>
      <c r="G60" s="2">
        <v>3.63</v>
      </c>
      <c r="H60" s="2">
        <v>173.6</v>
      </c>
      <c r="I60" s="2" t="s">
        <v>495</v>
      </c>
    </row>
    <row r="61" spans="1:9" ht="16.8" x14ac:dyDescent="0.4">
      <c r="A61" s="2" t="s">
        <v>162</v>
      </c>
      <c r="B61" s="2" t="s">
        <v>161</v>
      </c>
      <c r="C61" s="2" t="s">
        <v>132</v>
      </c>
      <c r="D61" s="2" t="s">
        <v>15</v>
      </c>
      <c r="E61" s="2">
        <v>44.239999999999988</v>
      </c>
      <c r="F61" s="2">
        <v>9.73</v>
      </c>
      <c r="G61" s="2">
        <v>1.46</v>
      </c>
      <c r="H61" s="2">
        <v>33.049999999999997</v>
      </c>
      <c r="I61" s="2" t="s">
        <v>495</v>
      </c>
    </row>
    <row r="62" spans="1:9" ht="16.8" x14ac:dyDescent="0.4">
      <c r="A62" s="2" t="s">
        <v>164</v>
      </c>
      <c r="B62" s="2" t="s">
        <v>163</v>
      </c>
      <c r="C62" s="2" t="s">
        <v>165</v>
      </c>
      <c r="D62" s="2" t="s">
        <v>12</v>
      </c>
      <c r="E62" s="2">
        <v>223.97</v>
      </c>
      <c r="F62" s="2">
        <v>44.79</v>
      </c>
      <c r="G62" s="2">
        <v>6.72</v>
      </c>
      <c r="H62" s="2">
        <v>172.46</v>
      </c>
      <c r="I62" s="2" t="s">
        <v>495</v>
      </c>
    </row>
    <row r="63" spans="1:9" ht="16.8" x14ac:dyDescent="0.4">
      <c r="A63" s="2" t="s">
        <v>167</v>
      </c>
      <c r="B63" s="2" t="s">
        <v>166</v>
      </c>
      <c r="C63" s="2" t="s">
        <v>165</v>
      </c>
      <c r="D63" s="2" t="s">
        <v>12</v>
      </c>
      <c r="E63" s="2">
        <v>124.82</v>
      </c>
      <c r="F63" s="2">
        <v>24.96</v>
      </c>
      <c r="G63" s="2">
        <v>3.74</v>
      </c>
      <c r="H63" s="2">
        <v>96.12</v>
      </c>
      <c r="I63" s="2" t="s">
        <v>495</v>
      </c>
    </row>
    <row r="64" spans="1:9" ht="16.8" x14ac:dyDescent="0.4">
      <c r="A64" s="2" t="s">
        <v>169</v>
      </c>
      <c r="B64" s="2" t="s">
        <v>168</v>
      </c>
      <c r="C64" s="2" t="s">
        <v>165</v>
      </c>
      <c r="D64" s="2" t="s">
        <v>14</v>
      </c>
      <c r="E64" s="2">
        <v>88.839999999999989</v>
      </c>
      <c r="F64" s="2">
        <v>10.66</v>
      </c>
      <c r="G64" s="2">
        <v>1.6</v>
      </c>
      <c r="H64" s="2">
        <v>76.58</v>
      </c>
      <c r="I64" s="2" t="s">
        <v>495</v>
      </c>
    </row>
    <row r="65" spans="1:9" ht="16.8" x14ac:dyDescent="0.4">
      <c r="A65" s="2" t="s">
        <v>171</v>
      </c>
      <c r="B65" s="2" t="s">
        <v>170</v>
      </c>
      <c r="C65" s="2" t="s">
        <v>165</v>
      </c>
      <c r="D65" s="2" t="s">
        <v>12</v>
      </c>
      <c r="E65" s="2">
        <v>225.53</v>
      </c>
      <c r="F65" s="2">
        <v>45.11</v>
      </c>
      <c r="G65" s="2">
        <v>6.77</v>
      </c>
      <c r="H65" s="2">
        <v>173.65</v>
      </c>
      <c r="I65" s="2" t="s">
        <v>495</v>
      </c>
    </row>
    <row r="66" spans="1:9" ht="16.8" x14ac:dyDescent="0.4">
      <c r="A66" s="2" t="s">
        <v>173</v>
      </c>
      <c r="B66" s="2" t="s">
        <v>172</v>
      </c>
      <c r="C66" s="2" t="s">
        <v>165</v>
      </c>
      <c r="D66" s="2" t="s">
        <v>12</v>
      </c>
      <c r="E66" s="2">
        <v>197.02</v>
      </c>
      <c r="F66" s="2">
        <v>39.4</v>
      </c>
      <c r="G66" s="2">
        <v>5.91</v>
      </c>
      <c r="H66" s="2">
        <v>151.71</v>
      </c>
      <c r="I66" s="2" t="s">
        <v>495</v>
      </c>
    </row>
    <row r="67" spans="1:9" ht="16.8" x14ac:dyDescent="0.4">
      <c r="A67" s="2" t="s">
        <v>175</v>
      </c>
      <c r="B67" s="2" t="s">
        <v>174</v>
      </c>
      <c r="C67" s="2" t="s">
        <v>165</v>
      </c>
      <c r="D67" s="2" t="s">
        <v>14</v>
      </c>
      <c r="E67" s="2">
        <v>240.15</v>
      </c>
      <c r="F67" s="2">
        <v>28.82</v>
      </c>
      <c r="G67" s="2">
        <v>4.32</v>
      </c>
      <c r="H67" s="2">
        <v>207.01</v>
      </c>
      <c r="I67" s="2" t="s">
        <v>495</v>
      </c>
    </row>
    <row r="68" spans="1:9" ht="16.8" x14ac:dyDescent="0.4">
      <c r="A68" s="2" t="s">
        <v>177</v>
      </c>
      <c r="B68" s="2" t="s">
        <v>176</v>
      </c>
      <c r="C68" s="2" t="s">
        <v>165</v>
      </c>
      <c r="D68" s="2" t="s">
        <v>14</v>
      </c>
      <c r="E68" s="2">
        <v>109.46</v>
      </c>
      <c r="F68" s="2">
        <v>13.14</v>
      </c>
      <c r="G68" s="2">
        <v>1.97</v>
      </c>
      <c r="H68" s="2">
        <v>94.35</v>
      </c>
      <c r="I68" s="2" t="s">
        <v>495</v>
      </c>
    </row>
    <row r="69" spans="1:9" ht="16.8" x14ac:dyDescent="0.4">
      <c r="A69" s="2" t="s">
        <v>179</v>
      </c>
      <c r="B69" s="2" t="s">
        <v>178</v>
      </c>
      <c r="C69" s="2" t="s">
        <v>165</v>
      </c>
      <c r="D69" s="2" t="s">
        <v>11</v>
      </c>
      <c r="E69" s="2">
        <v>156.08000000000001</v>
      </c>
      <c r="F69" s="2">
        <v>28.09</v>
      </c>
      <c r="G69" s="2">
        <v>4.21</v>
      </c>
      <c r="H69" s="2">
        <v>123.78</v>
      </c>
      <c r="I69" s="2" t="s">
        <v>495</v>
      </c>
    </row>
    <row r="70" spans="1:9" ht="16.8" x14ac:dyDescent="0.4">
      <c r="A70" s="2" t="s">
        <v>181</v>
      </c>
      <c r="B70" s="2" t="s">
        <v>180</v>
      </c>
      <c r="C70" s="2" t="s">
        <v>165</v>
      </c>
      <c r="D70" s="2" t="s">
        <v>15</v>
      </c>
      <c r="E70" s="2">
        <v>160.18</v>
      </c>
      <c r="F70" s="2">
        <v>35.24</v>
      </c>
      <c r="G70" s="2">
        <v>5.29</v>
      </c>
      <c r="H70" s="2">
        <v>119.65</v>
      </c>
      <c r="I70" s="2" t="s">
        <v>495</v>
      </c>
    </row>
    <row r="71" spans="1:9" ht="16.8" x14ac:dyDescent="0.4">
      <c r="A71" s="2" t="s">
        <v>183</v>
      </c>
      <c r="B71" s="2" t="s">
        <v>182</v>
      </c>
      <c r="C71" s="2" t="s">
        <v>165</v>
      </c>
      <c r="D71" s="2" t="s">
        <v>15</v>
      </c>
      <c r="E71" s="2">
        <v>245.87</v>
      </c>
      <c r="F71" s="2">
        <v>54.09</v>
      </c>
      <c r="G71" s="2">
        <v>8.11</v>
      </c>
      <c r="H71" s="2">
        <v>183.67</v>
      </c>
      <c r="I71" s="2" t="s">
        <v>495</v>
      </c>
    </row>
    <row r="72" spans="1:9" ht="16.8" x14ac:dyDescent="0.4">
      <c r="A72" s="2" t="s">
        <v>185</v>
      </c>
      <c r="B72" s="2" t="s">
        <v>184</v>
      </c>
      <c r="C72" s="2" t="s">
        <v>165</v>
      </c>
      <c r="D72" s="2" t="s">
        <v>12</v>
      </c>
      <c r="E72" s="2">
        <v>50.24</v>
      </c>
      <c r="F72" s="2">
        <v>10.050000000000001</v>
      </c>
      <c r="G72" s="2">
        <v>1.51</v>
      </c>
      <c r="H72" s="2">
        <v>38.68</v>
      </c>
      <c r="I72" s="2" t="s">
        <v>495</v>
      </c>
    </row>
    <row r="73" spans="1:9" ht="16.8" x14ac:dyDescent="0.4">
      <c r="A73" s="2" t="s">
        <v>187</v>
      </c>
      <c r="B73" s="2" t="s">
        <v>186</v>
      </c>
      <c r="C73" s="2" t="s">
        <v>165</v>
      </c>
      <c r="D73" s="2" t="s">
        <v>15</v>
      </c>
      <c r="E73" s="2">
        <v>93.78</v>
      </c>
      <c r="F73" s="2">
        <v>20.63</v>
      </c>
      <c r="G73" s="2">
        <v>3.09</v>
      </c>
      <c r="H73" s="2">
        <v>70.06</v>
      </c>
      <c r="I73" s="2" t="s">
        <v>495</v>
      </c>
    </row>
    <row r="74" spans="1:9" ht="16.8" x14ac:dyDescent="0.4">
      <c r="A74" s="2" t="s">
        <v>189</v>
      </c>
      <c r="B74" s="2" t="s">
        <v>188</v>
      </c>
      <c r="C74" s="2" t="s">
        <v>165</v>
      </c>
      <c r="D74" s="2" t="s">
        <v>12</v>
      </c>
      <c r="E74" s="2">
        <v>80.09</v>
      </c>
      <c r="F74" s="2">
        <v>16.02</v>
      </c>
      <c r="G74" s="2">
        <v>2.4</v>
      </c>
      <c r="H74" s="2">
        <v>46.67</v>
      </c>
      <c r="I74" s="2" t="s">
        <v>495</v>
      </c>
    </row>
    <row r="75" spans="1:9" ht="16.8" x14ac:dyDescent="0.4">
      <c r="A75" s="2" t="s">
        <v>191</v>
      </c>
      <c r="B75" s="2" t="s">
        <v>190</v>
      </c>
      <c r="C75" s="2" t="s">
        <v>165</v>
      </c>
      <c r="D75" s="2" t="s">
        <v>11</v>
      </c>
      <c r="E75" s="2">
        <v>96.38</v>
      </c>
      <c r="F75" s="2">
        <v>17.350000000000001</v>
      </c>
      <c r="G75" s="2">
        <v>2.6</v>
      </c>
      <c r="H75" s="2">
        <v>76.430000000000007</v>
      </c>
      <c r="I75" s="2" t="s">
        <v>495</v>
      </c>
    </row>
    <row r="76" spans="1:9" ht="16.8" x14ac:dyDescent="0.4">
      <c r="A76" s="2" t="s">
        <v>193</v>
      </c>
      <c r="B76" s="2" t="s">
        <v>192</v>
      </c>
      <c r="C76" s="2" t="s">
        <v>165</v>
      </c>
      <c r="D76" s="2" t="s">
        <v>14</v>
      </c>
      <c r="E76" s="2">
        <v>141.91</v>
      </c>
      <c r="F76" s="2">
        <v>17.03</v>
      </c>
      <c r="G76" s="2">
        <v>2.5499999999999998</v>
      </c>
      <c r="H76" s="2">
        <v>122.33</v>
      </c>
      <c r="I76" s="2" t="s">
        <v>495</v>
      </c>
    </row>
    <row r="77" spans="1:9" ht="16.8" x14ac:dyDescent="0.4">
      <c r="A77" s="2" t="s">
        <v>195</v>
      </c>
      <c r="B77" s="2" t="s">
        <v>194</v>
      </c>
      <c r="C77" s="2" t="s">
        <v>165</v>
      </c>
      <c r="D77" s="2" t="s">
        <v>14</v>
      </c>
      <c r="E77" s="2">
        <v>106.43</v>
      </c>
      <c r="F77" s="2">
        <v>12.77</v>
      </c>
      <c r="G77" s="2">
        <v>1.92</v>
      </c>
      <c r="H77" s="2">
        <v>91.74</v>
      </c>
      <c r="I77" s="2" t="s">
        <v>495</v>
      </c>
    </row>
    <row r="78" spans="1:9" ht="16.8" x14ac:dyDescent="0.4">
      <c r="A78" s="2" t="s">
        <v>197</v>
      </c>
      <c r="B78" s="2" t="s">
        <v>196</v>
      </c>
      <c r="C78" s="2" t="s">
        <v>198</v>
      </c>
      <c r="D78" s="2" t="s">
        <v>14</v>
      </c>
      <c r="E78" s="2">
        <v>110.6</v>
      </c>
      <c r="F78" s="2">
        <v>13.27</v>
      </c>
      <c r="G78" s="2">
        <v>1.99</v>
      </c>
      <c r="H78" s="2">
        <v>95.34</v>
      </c>
      <c r="I78" s="2" t="s">
        <v>495</v>
      </c>
    </row>
    <row r="79" spans="1:9" ht="16.8" x14ac:dyDescent="0.4">
      <c r="A79" s="2" t="s">
        <v>200</v>
      </c>
      <c r="B79" s="2" t="s">
        <v>199</v>
      </c>
      <c r="C79" s="2" t="s">
        <v>198</v>
      </c>
      <c r="D79" s="2" t="s">
        <v>15</v>
      </c>
      <c r="E79" s="2">
        <v>217.28</v>
      </c>
      <c r="F79" s="2">
        <v>47.8</v>
      </c>
      <c r="G79" s="2">
        <v>7.17</v>
      </c>
      <c r="H79" s="2">
        <v>162.31</v>
      </c>
      <c r="I79" s="2" t="s">
        <v>495</v>
      </c>
    </row>
    <row r="80" spans="1:9" ht="16.8" x14ac:dyDescent="0.4">
      <c r="A80" s="2" t="s">
        <v>202</v>
      </c>
      <c r="B80" s="2" t="s">
        <v>201</v>
      </c>
      <c r="C80" s="2" t="s">
        <v>198</v>
      </c>
      <c r="D80" s="2" t="s">
        <v>11</v>
      </c>
      <c r="E80" s="2">
        <v>235.3</v>
      </c>
      <c r="F80" s="2">
        <v>42.35</v>
      </c>
      <c r="G80" s="2">
        <v>6.35</v>
      </c>
      <c r="H80" s="2">
        <v>186.6</v>
      </c>
      <c r="I80" s="2" t="s">
        <v>495</v>
      </c>
    </row>
    <row r="81" spans="1:9" ht="16.8" x14ac:dyDescent="0.4">
      <c r="A81" s="2" t="s">
        <v>204</v>
      </c>
      <c r="B81" s="2" t="s">
        <v>203</v>
      </c>
      <c r="C81" s="2" t="s">
        <v>198</v>
      </c>
      <c r="D81" s="2" t="s">
        <v>15</v>
      </c>
      <c r="E81" s="2">
        <v>54.79</v>
      </c>
      <c r="F81" s="2">
        <v>12.05</v>
      </c>
      <c r="G81" s="2">
        <v>1.81</v>
      </c>
      <c r="H81" s="2">
        <v>40.93</v>
      </c>
      <c r="I81" s="2" t="s">
        <v>495</v>
      </c>
    </row>
    <row r="82" spans="1:9" ht="16.8" x14ac:dyDescent="0.4">
      <c r="A82" s="2" t="s">
        <v>206</v>
      </c>
      <c r="B82" s="2" t="s">
        <v>205</v>
      </c>
      <c r="C82" s="2" t="s">
        <v>198</v>
      </c>
      <c r="D82" s="2" t="s">
        <v>15</v>
      </c>
      <c r="E82" s="2">
        <v>83.87</v>
      </c>
      <c r="F82" s="2">
        <v>18.45</v>
      </c>
      <c r="G82" s="2">
        <v>2.77</v>
      </c>
      <c r="H82" s="2">
        <v>62.65</v>
      </c>
      <c r="I82" s="2" t="s">
        <v>495</v>
      </c>
    </row>
    <row r="83" spans="1:9" ht="16.8" x14ac:dyDescent="0.4">
      <c r="A83" s="2" t="s">
        <v>208</v>
      </c>
      <c r="B83" s="2" t="s">
        <v>207</v>
      </c>
      <c r="C83" s="2" t="s">
        <v>198</v>
      </c>
      <c r="D83" s="2" t="s">
        <v>11</v>
      </c>
      <c r="E83" s="2">
        <v>180.94</v>
      </c>
      <c r="F83" s="2">
        <v>32.57</v>
      </c>
      <c r="G83" s="2">
        <v>4.8899999999999997</v>
      </c>
      <c r="H83" s="2">
        <v>143.47999999999999</v>
      </c>
      <c r="I83" s="2" t="s">
        <v>495</v>
      </c>
    </row>
    <row r="84" spans="1:9" ht="16.8" x14ac:dyDescent="0.4">
      <c r="A84" s="2" t="s">
        <v>210</v>
      </c>
      <c r="B84" s="2" t="s">
        <v>209</v>
      </c>
      <c r="C84" s="2" t="s">
        <v>198</v>
      </c>
      <c r="D84" s="2" t="s">
        <v>11</v>
      </c>
      <c r="E84" s="2">
        <v>115.32</v>
      </c>
      <c r="F84" s="2">
        <v>20.76</v>
      </c>
      <c r="G84" s="2">
        <v>3.11</v>
      </c>
      <c r="H84" s="2">
        <v>91.45</v>
      </c>
      <c r="I84" s="2" t="s">
        <v>495</v>
      </c>
    </row>
    <row r="85" spans="1:9" ht="16.8" x14ac:dyDescent="0.4">
      <c r="A85" s="2" t="s">
        <v>212</v>
      </c>
      <c r="B85" s="2" t="s">
        <v>211</v>
      </c>
      <c r="C85" s="2" t="s">
        <v>198</v>
      </c>
      <c r="D85" s="2" t="s">
        <v>11</v>
      </c>
      <c r="E85" s="2">
        <v>84.03</v>
      </c>
      <c r="F85" s="2">
        <v>15.13</v>
      </c>
      <c r="G85" s="2">
        <v>2.27</v>
      </c>
      <c r="H85" s="2">
        <v>66.63</v>
      </c>
      <c r="I85" s="2" t="s">
        <v>495</v>
      </c>
    </row>
    <row r="86" spans="1:9" ht="16.8" x14ac:dyDescent="0.4">
      <c r="A86" s="2" t="s">
        <v>214</v>
      </c>
      <c r="B86" s="2" t="s">
        <v>213</v>
      </c>
      <c r="C86" s="2" t="s">
        <v>198</v>
      </c>
      <c r="D86" s="2" t="s">
        <v>11</v>
      </c>
      <c r="E86" s="2">
        <v>102.01</v>
      </c>
      <c r="F86" s="2">
        <v>18.36</v>
      </c>
      <c r="G86" s="2">
        <v>2.75</v>
      </c>
      <c r="H86" s="2">
        <v>80.900000000000006</v>
      </c>
      <c r="I86" s="2" t="s">
        <v>495</v>
      </c>
    </row>
    <row r="87" spans="1:9" ht="16.8" x14ac:dyDescent="0.4">
      <c r="A87" s="2" t="s">
        <v>216</v>
      </c>
      <c r="B87" s="2" t="s">
        <v>215</v>
      </c>
      <c r="C87" s="2" t="s">
        <v>198</v>
      </c>
      <c r="D87" s="2" t="s">
        <v>14</v>
      </c>
      <c r="E87" s="2">
        <v>107.74</v>
      </c>
      <c r="F87" s="2">
        <v>12.93</v>
      </c>
      <c r="G87" s="2">
        <v>1.94</v>
      </c>
      <c r="H87" s="2">
        <v>92.87</v>
      </c>
      <c r="I87" s="2" t="s">
        <v>495</v>
      </c>
    </row>
    <row r="88" spans="1:9" ht="16.8" x14ac:dyDescent="0.4">
      <c r="A88" s="2" t="s">
        <v>218</v>
      </c>
      <c r="B88" s="2" t="s">
        <v>217</v>
      </c>
      <c r="C88" s="2" t="s">
        <v>198</v>
      </c>
      <c r="D88" s="2" t="s">
        <v>13</v>
      </c>
      <c r="E88" s="2">
        <v>196.4</v>
      </c>
      <c r="F88" s="2">
        <v>29.46</v>
      </c>
      <c r="G88" s="2">
        <v>4.42</v>
      </c>
      <c r="H88" s="2">
        <v>162.52000000000001</v>
      </c>
      <c r="I88" s="2" t="s">
        <v>495</v>
      </c>
    </row>
    <row r="89" spans="1:9" ht="16.8" x14ac:dyDescent="0.4">
      <c r="A89" s="2" t="s">
        <v>220</v>
      </c>
      <c r="B89" s="2" t="s">
        <v>219</v>
      </c>
      <c r="C89" s="2" t="s">
        <v>198</v>
      </c>
      <c r="D89" s="2" t="s">
        <v>13</v>
      </c>
      <c r="E89" s="2">
        <v>61.82</v>
      </c>
      <c r="F89" s="2">
        <v>9.27</v>
      </c>
      <c r="G89" s="2">
        <v>1.39</v>
      </c>
      <c r="H89" s="2">
        <v>51.16</v>
      </c>
      <c r="I89" s="2" t="s">
        <v>495</v>
      </c>
    </row>
    <row r="90" spans="1:9" ht="16.8" x14ac:dyDescent="0.4">
      <c r="A90" s="2" t="s">
        <v>222</v>
      </c>
      <c r="B90" s="2" t="s">
        <v>221</v>
      </c>
      <c r="C90" s="2" t="s">
        <v>198</v>
      </c>
      <c r="D90" s="2" t="s">
        <v>11</v>
      </c>
      <c r="E90" s="2">
        <v>169.98</v>
      </c>
      <c r="F90" s="2">
        <v>30.6</v>
      </c>
      <c r="G90" s="2">
        <v>4.59</v>
      </c>
      <c r="H90" s="2">
        <v>134.79</v>
      </c>
      <c r="I90" s="2" t="s">
        <v>495</v>
      </c>
    </row>
    <row r="91" spans="1:9" ht="16.8" x14ac:dyDescent="0.4">
      <c r="A91" s="2" t="s">
        <v>224</v>
      </c>
      <c r="B91" s="2" t="s">
        <v>223</v>
      </c>
      <c r="C91" s="2" t="s">
        <v>198</v>
      </c>
      <c r="D91" s="2" t="s">
        <v>13</v>
      </c>
      <c r="E91" s="2">
        <v>156.09</v>
      </c>
      <c r="F91" s="2">
        <v>23.41</v>
      </c>
      <c r="G91" s="2">
        <v>3.51</v>
      </c>
      <c r="H91" s="2">
        <v>129.16999999999999</v>
      </c>
      <c r="I91" s="2" t="s">
        <v>495</v>
      </c>
    </row>
    <row r="92" spans="1:9" ht="16.8" x14ac:dyDescent="0.4">
      <c r="A92" s="2" t="s">
        <v>226</v>
      </c>
      <c r="B92" s="2" t="s">
        <v>225</v>
      </c>
      <c r="C92" s="2" t="s">
        <v>198</v>
      </c>
      <c r="D92" s="2" t="s">
        <v>13</v>
      </c>
      <c r="E92" s="2">
        <v>102.27</v>
      </c>
      <c r="F92" s="2">
        <v>15.34</v>
      </c>
      <c r="G92" s="2">
        <v>2.2999999999999998</v>
      </c>
      <c r="H92" s="2">
        <v>84.63</v>
      </c>
      <c r="I92" s="2" t="s">
        <v>495</v>
      </c>
    </row>
    <row r="93" spans="1:9" ht="16.8" x14ac:dyDescent="0.4">
      <c r="A93" s="2" t="s">
        <v>228</v>
      </c>
      <c r="B93" s="2" t="s">
        <v>227</v>
      </c>
      <c r="C93" s="2" t="s">
        <v>229</v>
      </c>
      <c r="D93" s="2" t="s">
        <v>11</v>
      </c>
      <c r="E93" s="2">
        <v>128.15</v>
      </c>
      <c r="F93" s="2">
        <v>23.07</v>
      </c>
      <c r="G93" s="2">
        <v>3.46</v>
      </c>
      <c r="H93" s="2">
        <v>101.62</v>
      </c>
      <c r="I93" s="2" t="s">
        <v>495</v>
      </c>
    </row>
    <row r="94" spans="1:9" ht="16.8" x14ac:dyDescent="0.4">
      <c r="A94" s="2" t="s">
        <v>231</v>
      </c>
      <c r="B94" s="2" t="s">
        <v>230</v>
      </c>
      <c r="C94" s="2" t="s">
        <v>229</v>
      </c>
      <c r="D94" s="2" t="s">
        <v>13</v>
      </c>
      <c r="E94" s="2">
        <v>93.8</v>
      </c>
      <c r="F94" s="2">
        <v>14.07</v>
      </c>
      <c r="G94" s="2">
        <v>2.11</v>
      </c>
      <c r="H94" s="2">
        <v>77.62</v>
      </c>
      <c r="I94" s="2" t="s">
        <v>495</v>
      </c>
    </row>
    <row r="95" spans="1:9" ht="16.8" x14ac:dyDescent="0.4">
      <c r="A95" s="2" t="s">
        <v>233</v>
      </c>
      <c r="B95" s="2" t="s">
        <v>232</v>
      </c>
      <c r="C95" s="2" t="s">
        <v>229</v>
      </c>
      <c r="D95" s="2" t="s">
        <v>15</v>
      </c>
      <c r="E95" s="2">
        <v>168.42</v>
      </c>
      <c r="F95" s="2">
        <v>37.049999999999997</v>
      </c>
      <c r="G95" s="2">
        <v>5.56</v>
      </c>
      <c r="H95" s="2">
        <v>125.81</v>
      </c>
      <c r="I95" s="2" t="s">
        <v>495</v>
      </c>
    </row>
    <row r="96" spans="1:9" ht="16.8" x14ac:dyDescent="0.4">
      <c r="A96" s="2" t="s">
        <v>235</v>
      </c>
      <c r="B96" s="2" t="s">
        <v>234</v>
      </c>
      <c r="C96" s="2" t="s">
        <v>229</v>
      </c>
      <c r="D96" s="2" t="s">
        <v>12</v>
      </c>
      <c r="E96" s="2">
        <v>57.13</v>
      </c>
      <c r="F96" s="2">
        <v>11.43</v>
      </c>
      <c r="G96" s="2">
        <v>1.71</v>
      </c>
      <c r="H96" s="2">
        <v>43.99</v>
      </c>
      <c r="I96" s="2" t="s">
        <v>495</v>
      </c>
    </row>
    <row r="97" spans="1:9" ht="16.8" x14ac:dyDescent="0.4">
      <c r="A97" s="2" t="s">
        <v>237</v>
      </c>
      <c r="B97" s="2" t="s">
        <v>236</v>
      </c>
      <c r="C97" s="2" t="s">
        <v>229</v>
      </c>
      <c r="D97" s="2" t="s">
        <v>12</v>
      </c>
      <c r="E97" s="2">
        <v>41.09</v>
      </c>
      <c r="F97" s="2">
        <v>8.2200000000000006</v>
      </c>
      <c r="G97" s="2">
        <v>1.23</v>
      </c>
      <c r="H97" s="2">
        <v>31.64</v>
      </c>
      <c r="I97" s="2" t="s">
        <v>495</v>
      </c>
    </row>
    <row r="98" spans="1:9" ht="16.8" x14ac:dyDescent="0.4">
      <c r="A98" s="2" t="s">
        <v>239</v>
      </c>
      <c r="B98" s="2" t="s">
        <v>238</v>
      </c>
      <c r="C98" s="2" t="s">
        <v>229</v>
      </c>
      <c r="D98" s="2" t="s">
        <v>11</v>
      </c>
      <c r="E98" s="2">
        <v>171.86</v>
      </c>
      <c r="F98" s="2">
        <v>30.93</v>
      </c>
      <c r="G98" s="2">
        <v>4.6399999999999997</v>
      </c>
      <c r="H98" s="2">
        <v>136.29</v>
      </c>
      <c r="I98" s="2" t="s">
        <v>495</v>
      </c>
    </row>
    <row r="99" spans="1:9" ht="16.8" x14ac:dyDescent="0.4">
      <c r="A99" s="2" t="s">
        <v>241</v>
      </c>
      <c r="B99" s="2" t="s">
        <v>240</v>
      </c>
      <c r="C99" s="2" t="s">
        <v>229</v>
      </c>
      <c r="D99" s="2" t="s">
        <v>14</v>
      </c>
      <c r="E99" s="2">
        <v>80.8</v>
      </c>
      <c r="F99" s="2">
        <v>9.6999999999999993</v>
      </c>
      <c r="G99" s="2">
        <v>1.45</v>
      </c>
      <c r="H99" s="2">
        <v>54.650000000000013</v>
      </c>
      <c r="I99" s="2" t="s">
        <v>495</v>
      </c>
    </row>
    <row r="100" spans="1:9" ht="16.8" x14ac:dyDescent="0.4">
      <c r="A100" s="2" t="s">
        <v>243</v>
      </c>
      <c r="B100" s="2" t="s">
        <v>242</v>
      </c>
      <c r="C100" s="2" t="s">
        <v>229</v>
      </c>
      <c r="D100" s="2" t="s">
        <v>11</v>
      </c>
      <c r="E100" s="2">
        <v>54.9</v>
      </c>
      <c r="F100" s="2">
        <v>9.8800000000000008</v>
      </c>
      <c r="G100" s="2">
        <v>1.48</v>
      </c>
      <c r="H100" s="2">
        <v>43.54</v>
      </c>
      <c r="I100" s="2" t="s">
        <v>495</v>
      </c>
    </row>
    <row r="101" spans="1:9" ht="16.8" x14ac:dyDescent="0.4">
      <c r="A101" s="2" t="s">
        <v>245</v>
      </c>
      <c r="B101" s="2" t="s">
        <v>244</v>
      </c>
      <c r="C101" s="2" t="s">
        <v>229</v>
      </c>
      <c r="D101" s="2" t="s">
        <v>14</v>
      </c>
      <c r="E101" s="2">
        <v>123.32</v>
      </c>
      <c r="F101" s="2">
        <v>14.8</v>
      </c>
      <c r="G101" s="2">
        <v>2.2200000000000002</v>
      </c>
      <c r="H101" s="2">
        <v>106.3</v>
      </c>
      <c r="I101" s="2" t="s">
        <v>495</v>
      </c>
    </row>
    <row r="102" spans="1:9" ht="16.8" x14ac:dyDescent="0.4">
      <c r="A102" s="2" t="s">
        <v>247</v>
      </c>
      <c r="B102" s="2" t="s">
        <v>246</v>
      </c>
      <c r="C102" s="2" t="s">
        <v>229</v>
      </c>
      <c r="D102" s="2" t="s">
        <v>12</v>
      </c>
      <c r="E102" s="2">
        <v>50.66</v>
      </c>
      <c r="F102" s="2">
        <v>10.130000000000001</v>
      </c>
      <c r="G102" s="2">
        <v>1.52</v>
      </c>
      <c r="H102" s="2">
        <v>39.01</v>
      </c>
      <c r="I102" s="2" t="s">
        <v>495</v>
      </c>
    </row>
    <row r="103" spans="1:9" ht="16.8" x14ac:dyDescent="0.4">
      <c r="A103" s="2" t="s">
        <v>249</v>
      </c>
      <c r="B103" s="2" t="s">
        <v>248</v>
      </c>
      <c r="C103" s="2" t="s">
        <v>229</v>
      </c>
      <c r="D103" s="2" t="s">
        <v>11</v>
      </c>
      <c r="E103" s="2">
        <v>226.19</v>
      </c>
      <c r="F103" s="2">
        <v>40.71</v>
      </c>
      <c r="G103" s="2">
        <v>6.11</v>
      </c>
      <c r="H103" s="2">
        <v>179.37</v>
      </c>
      <c r="I103" s="2" t="s">
        <v>495</v>
      </c>
    </row>
    <row r="104" spans="1:9" ht="16.8" x14ac:dyDescent="0.4">
      <c r="A104" s="2" t="s">
        <v>251</v>
      </c>
      <c r="B104" s="2" t="s">
        <v>250</v>
      </c>
      <c r="C104" s="2" t="s">
        <v>229</v>
      </c>
      <c r="D104" s="2" t="s">
        <v>15</v>
      </c>
      <c r="E104" s="2">
        <v>45.8</v>
      </c>
      <c r="F104" s="2">
        <v>10.08</v>
      </c>
      <c r="G104" s="2">
        <v>1.51</v>
      </c>
      <c r="H104" s="2">
        <v>34.21</v>
      </c>
      <c r="I104" s="2" t="s">
        <v>495</v>
      </c>
    </row>
    <row r="105" spans="1:9" ht="16.8" x14ac:dyDescent="0.4">
      <c r="A105" s="2" t="s">
        <v>253</v>
      </c>
      <c r="B105" s="2" t="s">
        <v>252</v>
      </c>
      <c r="C105" s="2" t="s">
        <v>229</v>
      </c>
      <c r="D105" s="2" t="s">
        <v>13</v>
      </c>
      <c r="E105" s="2">
        <v>161.56</v>
      </c>
      <c r="F105" s="2">
        <v>24.23</v>
      </c>
      <c r="G105" s="2">
        <v>3.63</v>
      </c>
      <c r="H105" s="2">
        <v>133.69999999999999</v>
      </c>
      <c r="I105" s="2" t="s">
        <v>495</v>
      </c>
    </row>
    <row r="106" spans="1:9" ht="16.8" x14ac:dyDescent="0.4">
      <c r="A106" s="2" t="s">
        <v>255</v>
      </c>
      <c r="B106" s="2" t="s">
        <v>254</v>
      </c>
      <c r="C106" s="2" t="s">
        <v>229</v>
      </c>
      <c r="D106" s="2" t="s">
        <v>14</v>
      </c>
      <c r="E106" s="2">
        <v>132.08000000000001</v>
      </c>
      <c r="F106" s="2">
        <v>15.85</v>
      </c>
      <c r="G106" s="2">
        <v>2.38</v>
      </c>
      <c r="H106" s="2">
        <v>113.85</v>
      </c>
      <c r="I106" s="2" t="s">
        <v>495</v>
      </c>
    </row>
    <row r="107" spans="1:9" ht="16.8" x14ac:dyDescent="0.4">
      <c r="A107" s="2" t="s">
        <v>257</v>
      </c>
      <c r="B107" s="2" t="s">
        <v>256</v>
      </c>
      <c r="C107" s="2" t="s">
        <v>229</v>
      </c>
      <c r="D107" s="2" t="s">
        <v>13</v>
      </c>
      <c r="E107" s="2">
        <v>181.13</v>
      </c>
      <c r="F107" s="2">
        <v>27.17</v>
      </c>
      <c r="G107" s="2">
        <v>4.08</v>
      </c>
      <c r="H107" s="2">
        <v>149.88</v>
      </c>
      <c r="I107" s="2" t="s">
        <v>495</v>
      </c>
    </row>
    <row r="108" spans="1:9" ht="16.8" x14ac:dyDescent="0.4">
      <c r="A108" s="2" t="s">
        <v>259</v>
      </c>
      <c r="B108" s="2" t="s">
        <v>258</v>
      </c>
      <c r="C108" s="2" t="s">
        <v>229</v>
      </c>
      <c r="D108" s="2" t="s">
        <v>13</v>
      </c>
      <c r="E108" s="2">
        <v>108.91</v>
      </c>
      <c r="F108" s="2">
        <v>16.34</v>
      </c>
      <c r="G108" s="2">
        <v>2.4500000000000002</v>
      </c>
      <c r="H108" s="2">
        <v>90.12</v>
      </c>
      <c r="I108" s="2" t="s">
        <v>495</v>
      </c>
    </row>
    <row r="109" spans="1:9" ht="16.8" x14ac:dyDescent="0.4">
      <c r="A109" s="2" t="s">
        <v>261</v>
      </c>
      <c r="B109" s="2" t="s">
        <v>260</v>
      </c>
      <c r="C109" s="2" t="s">
        <v>262</v>
      </c>
      <c r="D109" s="2" t="s">
        <v>11</v>
      </c>
      <c r="E109" s="2">
        <v>72.56</v>
      </c>
      <c r="F109" s="2">
        <v>13.06</v>
      </c>
      <c r="G109" s="2">
        <v>1.96</v>
      </c>
      <c r="H109" s="2">
        <v>57.54</v>
      </c>
      <c r="I109" s="2" t="s">
        <v>495</v>
      </c>
    </row>
    <row r="110" spans="1:9" ht="16.8" x14ac:dyDescent="0.4">
      <c r="A110" s="2" t="s">
        <v>264</v>
      </c>
      <c r="B110" s="2" t="s">
        <v>263</v>
      </c>
      <c r="C110" s="2" t="s">
        <v>262</v>
      </c>
      <c r="D110" s="2" t="s">
        <v>13</v>
      </c>
      <c r="E110" s="2">
        <v>221.57</v>
      </c>
      <c r="F110" s="2">
        <v>33.24</v>
      </c>
      <c r="G110" s="2">
        <v>4.99</v>
      </c>
      <c r="H110" s="2">
        <v>183.34</v>
      </c>
      <c r="I110" s="2" t="s">
        <v>495</v>
      </c>
    </row>
    <row r="111" spans="1:9" ht="16.8" x14ac:dyDescent="0.4">
      <c r="A111" s="2" t="s">
        <v>266</v>
      </c>
      <c r="B111" s="2" t="s">
        <v>265</v>
      </c>
      <c r="C111" s="2" t="s">
        <v>262</v>
      </c>
      <c r="D111" s="2" t="s">
        <v>15</v>
      </c>
      <c r="E111" s="2">
        <v>216.18</v>
      </c>
      <c r="F111" s="2">
        <v>47.56</v>
      </c>
      <c r="G111" s="2">
        <v>7.13</v>
      </c>
      <c r="H111" s="2">
        <v>161.49</v>
      </c>
      <c r="I111" s="2" t="s">
        <v>495</v>
      </c>
    </row>
    <row r="112" spans="1:9" ht="16.8" x14ac:dyDescent="0.4">
      <c r="A112" s="2" t="s">
        <v>268</v>
      </c>
      <c r="B112" s="2" t="s">
        <v>267</v>
      </c>
      <c r="C112" s="2" t="s">
        <v>262</v>
      </c>
      <c r="D112" s="2" t="s">
        <v>13</v>
      </c>
      <c r="E112" s="2">
        <v>220.68</v>
      </c>
      <c r="F112" s="2">
        <v>33.1</v>
      </c>
      <c r="G112" s="2">
        <v>4.96</v>
      </c>
      <c r="H112" s="2">
        <v>182.62</v>
      </c>
      <c r="I112" s="2" t="s">
        <v>495</v>
      </c>
    </row>
    <row r="113" spans="1:9" ht="16.8" x14ac:dyDescent="0.4">
      <c r="A113" s="2" t="s">
        <v>270</v>
      </c>
      <c r="B113" s="2" t="s">
        <v>269</v>
      </c>
      <c r="C113" s="2" t="s">
        <v>262</v>
      </c>
      <c r="D113" s="2" t="s">
        <v>11</v>
      </c>
      <c r="E113" s="2">
        <v>83.289999999999992</v>
      </c>
      <c r="F113" s="2">
        <v>14.99</v>
      </c>
      <c r="G113" s="2">
        <v>2.25</v>
      </c>
      <c r="H113" s="2">
        <v>66.05</v>
      </c>
      <c r="I113" s="2" t="s">
        <v>495</v>
      </c>
    </row>
    <row r="114" spans="1:9" ht="16.8" x14ac:dyDescent="0.4">
      <c r="A114" s="2" t="s">
        <v>272</v>
      </c>
      <c r="B114" s="2" t="s">
        <v>271</v>
      </c>
      <c r="C114" s="2" t="s">
        <v>262</v>
      </c>
      <c r="D114" s="2" t="s">
        <v>15</v>
      </c>
      <c r="E114" s="2">
        <v>48.16</v>
      </c>
      <c r="F114" s="2">
        <v>10.6</v>
      </c>
      <c r="G114" s="2">
        <v>1.59</v>
      </c>
      <c r="H114" s="2">
        <v>35.97</v>
      </c>
      <c r="I114" s="2" t="s">
        <v>495</v>
      </c>
    </row>
    <row r="115" spans="1:9" ht="16.8" x14ac:dyDescent="0.4">
      <c r="A115" s="2" t="s">
        <v>274</v>
      </c>
      <c r="B115" s="2" t="s">
        <v>273</v>
      </c>
      <c r="C115" s="2" t="s">
        <v>262</v>
      </c>
      <c r="D115" s="2" t="s">
        <v>12</v>
      </c>
      <c r="E115" s="2">
        <v>93.32</v>
      </c>
      <c r="F115" s="2">
        <v>18.66</v>
      </c>
      <c r="G115" s="2">
        <v>2.8</v>
      </c>
      <c r="H115" s="2">
        <v>71.86</v>
      </c>
      <c r="I115" s="2" t="s">
        <v>495</v>
      </c>
    </row>
    <row r="116" spans="1:9" ht="16.8" x14ac:dyDescent="0.4">
      <c r="A116" s="2" t="s">
        <v>276</v>
      </c>
      <c r="B116" s="2" t="s">
        <v>275</v>
      </c>
      <c r="C116" s="2" t="s">
        <v>262</v>
      </c>
      <c r="D116" s="2" t="s">
        <v>13</v>
      </c>
      <c r="E116" s="2">
        <v>152.79</v>
      </c>
      <c r="F116" s="2">
        <v>22.92</v>
      </c>
      <c r="G116" s="2">
        <v>3.44</v>
      </c>
      <c r="H116" s="2">
        <v>126.43</v>
      </c>
      <c r="I116" s="2" t="s">
        <v>495</v>
      </c>
    </row>
    <row r="117" spans="1:9" ht="16.8" x14ac:dyDescent="0.4">
      <c r="A117" s="2" t="s">
        <v>278</v>
      </c>
      <c r="B117" s="2" t="s">
        <v>277</v>
      </c>
      <c r="C117" s="2" t="s">
        <v>262</v>
      </c>
      <c r="D117" s="2" t="s">
        <v>11</v>
      </c>
      <c r="E117" s="2">
        <v>108.6</v>
      </c>
      <c r="F117" s="2">
        <v>19.55</v>
      </c>
      <c r="G117" s="2">
        <v>2.93</v>
      </c>
      <c r="H117" s="2">
        <v>86.12</v>
      </c>
      <c r="I117" s="2" t="s">
        <v>495</v>
      </c>
    </row>
    <row r="118" spans="1:9" ht="16.8" x14ac:dyDescent="0.4">
      <c r="A118" s="2" t="s">
        <v>280</v>
      </c>
      <c r="B118" s="2" t="s">
        <v>279</v>
      </c>
      <c r="C118" s="2" t="s">
        <v>262</v>
      </c>
      <c r="D118" s="2" t="s">
        <v>12</v>
      </c>
      <c r="E118" s="2">
        <v>213.85</v>
      </c>
      <c r="F118" s="2">
        <v>42.77</v>
      </c>
      <c r="G118" s="2">
        <v>6.42</v>
      </c>
      <c r="H118" s="2">
        <v>164.66</v>
      </c>
      <c r="I118" s="2" t="s">
        <v>495</v>
      </c>
    </row>
    <row r="119" spans="1:9" ht="16.8" x14ac:dyDescent="0.4">
      <c r="A119" s="2" t="s">
        <v>282</v>
      </c>
      <c r="B119" s="2" t="s">
        <v>281</v>
      </c>
      <c r="C119" s="2" t="s">
        <v>262</v>
      </c>
      <c r="D119" s="2" t="s">
        <v>12</v>
      </c>
      <c r="E119" s="2">
        <v>87.32</v>
      </c>
      <c r="F119" s="2">
        <v>17.46</v>
      </c>
      <c r="G119" s="2">
        <v>2.62</v>
      </c>
      <c r="H119" s="2">
        <v>67.239999999999995</v>
      </c>
      <c r="I119" s="2" t="s">
        <v>495</v>
      </c>
    </row>
    <row r="120" spans="1:9" ht="16.8" x14ac:dyDescent="0.4">
      <c r="A120" s="2" t="s">
        <v>284</v>
      </c>
      <c r="B120" s="2" t="s">
        <v>283</v>
      </c>
      <c r="C120" s="2" t="s">
        <v>262</v>
      </c>
      <c r="D120" s="2" t="s">
        <v>14</v>
      </c>
      <c r="E120" s="2">
        <v>242.7</v>
      </c>
      <c r="F120" s="2">
        <v>29.12</v>
      </c>
      <c r="G120" s="2">
        <v>4.37</v>
      </c>
      <c r="H120" s="2">
        <v>209.21</v>
      </c>
      <c r="I120" s="2" t="s">
        <v>495</v>
      </c>
    </row>
    <row r="121" spans="1:9" ht="16.8" x14ac:dyDescent="0.4">
      <c r="A121" s="2" t="s">
        <v>286</v>
      </c>
      <c r="B121" s="2" t="s">
        <v>285</v>
      </c>
      <c r="C121" s="2" t="s">
        <v>262</v>
      </c>
      <c r="D121" s="2" t="s">
        <v>15</v>
      </c>
      <c r="E121" s="2">
        <v>122.43</v>
      </c>
      <c r="F121" s="2">
        <v>26.93</v>
      </c>
      <c r="G121" s="2">
        <v>4.04</v>
      </c>
      <c r="H121" s="2">
        <v>91.46</v>
      </c>
      <c r="I121" s="2" t="s">
        <v>495</v>
      </c>
    </row>
    <row r="122" spans="1:9" ht="16.8" x14ac:dyDescent="0.4">
      <c r="A122" s="2" t="s">
        <v>288</v>
      </c>
      <c r="B122" s="2" t="s">
        <v>287</v>
      </c>
      <c r="C122" s="2" t="s">
        <v>262</v>
      </c>
      <c r="D122" s="2" t="s">
        <v>13</v>
      </c>
      <c r="E122" s="2">
        <v>216.82</v>
      </c>
      <c r="F122" s="2">
        <v>32.520000000000003</v>
      </c>
      <c r="G122" s="2">
        <v>4.88</v>
      </c>
      <c r="H122" s="2">
        <v>179.42</v>
      </c>
      <c r="I122" s="2" t="s">
        <v>495</v>
      </c>
    </row>
    <row r="123" spans="1:9" ht="16.8" x14ac:dyDescent="0.4">
      <c r="A123" s="2" t="s">
        <v>290</v>
      </c>
      <c r="B123" s="2" t="s">
        <v>289</v>
      </c>
      <c r="C123" s="2" t="s">
        <v>262</v>
      </c>
      <c r="D123" s="2" t="s">
        <v>11</v>
      </c>
      <c r="E123" s="2">
        <v>72.739999999999995</v>
      </c>
      <c r="F123" s="2">
        <v>13.09</v>
      </c>
      <c r="G123" s="2">
        <v>1.96</v>
      </c>
      <c r="H123" s="2">
        <v>57.69</v>
      </c>
      <c r="I123" s="2" t="s">
        <v>495</v>
      </c>
    </row>
    <row r="124" spans="1:9" ht="16.8" x14ac:dyDescent="0.4">
      <c r="A124" s="2" t="s">
        <v>292</v>
      </c>
      <c r="B124" s="2" t="s">
        <v>291</v>
      </c>
      <c r="C124" s="2" t="s">
        <v>262</v>
      </c>
      <c r="D124" s="2" t="s">
        <v>14</v>
      </c>
      <c r="E124" s="2">
        <v>126.38</v>
      </c>
      <c r="F124" s="2">
        <v>15.17</v>
      </c>
      <c r="G124" s="2">
        <v>2.2799999999999998</v>
      </c>
      <c r="H124" s="2">
        <v>108.93</v>
      </c>
      <c r="I124" s="2" t="s">
        <v>495</v>
      </c>
    </row>
    <row r="125" spans="1:9" ht="16.8" x14ac:dyDescent="0.4">
      <c r="A125" s="2" t="s">
        <v>294</v>
      </c>
      <c r="B125" s="2" t="s">
        <v>293</v>
      </c>
      <c r="C125" s="2" t="s">
        <v>295</v>
      </c>
      <c r="D125" s="2" t="s">
        <v>15</v>
      </c>
      <c r="E125" s="2">
        <v>168.21</v>
      </c>
      <c r="F125" s="2">
        <v>37.01</v>
      </c>
      <c r="G125" s="2">
        <v>5.55</v>
      </c>
      <c r="H125" s="2">
        <v>125.65</v>
      </c>
      <c r="I125" s="2" t="s">
        <v>495</v>
      </c>
    </row>
    <row r="126" spans="1:9" ht="16.8" x14ac:dyDescent="0.4">
      <c r="A126" s="2" t="s">
        <v>297</v>
      </c>
      <c r="B126" s="2" t="s">
        <v>296</v>
      </c>
      <c r="C126" s="2" t="s">
        <v>295</v>
      </c>
      <c r="D126" s="2" t="s">
        <v>14</v>
      </c>
      <c r="E126" s="2">
        <v>69.05</v>
      </c>
      <c r="F126" s="2">
        <v>8.2899999999999991</v>
      </c>
      <c r="G126" s="2">
        <v>1.24</v>
      </c>
      <c r="H126" s="2">
        <v>59.52</v>
      </c>
      <c r="I126" s="2" t="s">
        <v>495</v>
      </c>
    </row>
    <row r="127" spans="1:9" ht="16.8" x14ac:dyDescent="0.4">
      <c r="A127" s="2" t="s">
        <v>299</v>
      </c>
      <c r="B127" s="2" t="s">
        <v>298</v>
      </c>
      <c r="C127" s="2" t="s">
        <v>295</v>
      </c>
      <c r="D127" s="2" t="s">
        <v>15</v>
      </c>
      <c r="E127" s="2">
        <v>67.88</v>
      </c>
      <c r="F127" s="2">
        <v>14.93</v>
      </c>
      <c r="G127" s="2">
        <v>2.2400000000000002</v>
      </c>
      <c r="H127" s="2">
        <v>50.71</v>
      </c>
      <c r="I127" s="2" t="s">
        <v>495</v>
      </c>
    </row>
    <row r="128" spans="1:9" ht="16.8" x14ac:dyDescent="0.4">
      <c r="A128" s="2" t="s">
        <v>301</v>
      </c>
      <c r="B128" s="2" t="s">
        <v>300</v>
      </c>
      <c r="C128" s="2" t="s">
        <v>295</v>
      </c>
      <c r="D128" s="2" t="s">
        <v>15</v>
      </c>
      <c r="E128" s="2">
        <v>243.6</v>
      </c>
      <c r="F128" s="2">
        <v>53.59</v>
      </c>
      <c r="G128" s="2">
        <v>8.0399999999999991</v>
      </c>
      <c r="H128" s="2">
        <v>181.97</v>
      </c>
      <c r="I128" s="2" t="s">
        <v>495</v>
      </c>
    </row>
    <row r="129" spans="1:9" ht="16.8" x14ac:dyDescent="0.4">
      <c r="A129" s="2" t="s">
        <v>303</v>
      </c>
      <c r="B129" s="2" t="s">
        <v>302</v>
      </c>
      <c r="C129" s="2" t="s">
        <v>295</v>
      </c>
      <c r="D129" s="2" t="s">
        <v>13</v>
      </c>
      <c r="E129" s="2">
        <v>190.06</v>
      </c>
      <c r="F129" s="2">
        <v>28.51</v>
      </c>
      <c r="G129" s="2">
        <v>4.28</v>
      </c>
      <c r="H129" s="2">
        <v>157.27000000000001</v>
      </c>
      <c r="I129" s="2" t="s">
        <v>495</v>
      </c>
    </row>
    <row r="130" spans="1:9" ht="16.8" x14ac:dyDescent="0.4">
      <c r="A130" s="2" t="s">
        <v>305</v>
      </c>
      <c r="B130" s="2" t="s">
        <v>304</v>
      </c>
      <c r="C130" s="2" t="s">
        <v>295</v>
      </c>
      <c r="D130" s="2" t="s">
        <v>15</v>
      </c>
      <c r="E130" s="2">
        <v>48.62</v>
      </c>
      <c r="F130" s="2">
        <v>10.7</v>
      </c>
      <c r="G130" s="2">
        <v>1.6</v>
      </c>
      <c r="H130" s="2">
        <v>36.32</v>
      </c>
      <c r="I130" s="2" t="s">
        <v>495</v>
      </c>
    </row>
    <row r="131" spans="1:9" ht="16.8" x14ac:dyDescent="0.4">
      <c r="A131" s="2" t="s">
        <v>307</v>
      </c>
      <c r="B131" s="2" t="s">
        <v>306</v>
      </c>
      <c r="C131" s="2" t="s">
        <v>295</v>
      </c>
      <c r="D131" s="2" t="s">
        <v>14</v>
      </c>
      <c r="E131" s="2">
        <v>123.75</v>
      </c>
      <c r="F131" s="2">
        <v>14.85</v>
      </c>
      <c r="G131" s="2">
        <v>2.23</v>
      </c>
      <c r="H131" s="2">
        <v>106.67</v>
      </c>
      <c r="I131" s="2" t="s">
        <v>495</v>
      </c>
    </row>
    <row r="132" spans="1:9" ht="16.8" x14ac:dyDescent="0.4">
      <c r="A132" s="2" t="s">
        <v>309</v>
      </c>
      <c r="B132" s="2" t="s">
        <v>308</v>
      </c>
      <c r="C132" s="2" t="s">
        <v>295</v>
      </c>
      <c r="D132" s="2" t="s">
        <v>15</v>
      </c>
      <c r="E132" s="2">
        <v>131.04</v>
      </c>
      <c r="F132" s="2">
        <v>28.83</v>
      </c>
      <c r="G132" s="2">
        <v>4.32</v>
      </c>
      <c r="H132" s="2">
        <v>97.89</v>
      </c>
      <c r="I132" s="2" t="s">
        <v>495</v>
      </c>
    </row>
    <row r="133" spans="1:9" ht="16.8" x14ac:dyDescent="0.4">
      <c r="A133" s="2" t="s">
        <v>311</v>
      </c>
      <c r="B133" s="2" t="s">
        <v>310</v>
      </c>
      <c r="C133" s="2" t="s">
        <v>295</v>
      </c>
      <c r="D133" s="2" t="s">
        <v>13</v>
      </c>
      <c r="E133" s="2">
        <v>196.25</v>
      </c>
      <c r="F133" s="2">
        <v>29.44</v>
      </c>
      <c r="G133" s="2">
        <v>4.42</v>
      </c>
      <c r="H133" s="2">
        <v>162.38999999999999</v>
      </c>
      <c r="I133" s="2" t="s">
        <v>495</v>
      </c>
    </row>
    <row r="134" spans="1:9" ht="16.8" x14ac:dyDescent="0.4">
      <c r="A134" s="2" t="s">
        <v>313</v>
      </c>
      <c r="B134" s="2" t="s">
        <v>312</v>
      </c>
      <c r="C134" s="2" t="s">
        <v>295</v>
      </c>
      <c r="D134" s="2" t="s">
        <v>13</v>
      </c>
      <c r="E134" s="2">
        <v>83.410000000000011</v>
      </c>
      <c r="F134" s="2">
        <v>12.51</v>
      </c>
      <c r="G134" s="2">
        <v>1.88</v>
      </c>
      <c r="H134" s="2">
        <v>69.02</v>
      </c>
      <c r="I134" s="2" t="s">
        <v>495</v>
      </c>
    </row>
    <row r="135" spans="1:9" ht="16.8" x14ac:dyDescent="0.4">
      <c r="A135" s="2" t="s">
        <v>315</v>
      </c>
      <c r="B135" s="2" t="s">
        <v>314</v>
      </c>
      <c r="C135" s="2" t="s">
        <v>295</v>
      </c>
      <c r="D135" s="2" t="s">
        <v>14</v>
      </c>
      <c r="E135" s="2">
        <v>70.839999999999989</v>
      </c>
      <c r="F135" s="2">
        <v>8.5</v>
      </c>
      <c r="G135" s="2">
        <v>1.27</v>
      </c>
      <c r="H135" s="2">
        <v>61.07</v>
      </c>
      <c r="I135" s="2" t="s">
        <v>495</v>
      </c>
    </row>
    <row r="136" spans="1:9" ht="16.8" x14ac:dyDescent="0.4">
      <c r="A136" s="2" t="s">
        <v>317</v>
      </c>
      <c r="B136" s="2" t="s">
        <v>316</v>
      </c>
      <c r="C136" s="2" t="s">
        <v>295</v>
      </c>
      <c r="D136" s="2" t="s">
        <v>12</v>
      </c>
      <c r="E136" s="2">
        <v>56.98</v>
      </c>
      <c r="F136" s="2">
        <v>11.4</v>
      </c>
      <c r="G136" s="2">
        <v>1.71</v>
      </c>
      <c r="H136" s="2">
        <v>43.87</v>
      </c>
      <c r="I136" s="2" t="s">
        <v>495</v>
      </c>
    </row>
    <row r="137" spans="1:9" ht="16.8" x14ac:dyDescent="0.4">
      <c r="A137" s="2" t="s">
        <v>319</v>
      </c>
      <c r="B137" s="2" t="s">
        <v>318</v>
      </c>
      <c r="C137" s="2" t="s">
        <v>295</v>
      </c>
      <c r="D137" s="2" t="s">
        <v>12</v>
      </c>
      <c r="E137" s="2">
        <v>116.95</v>
      </c>
      <c r="F137" s="2">
        <v>23.39</v>
      </c>
      <c r="G137" s="2">
        <v>3.51</v>
      </c>
      <c r="H137" s="2">
        <v>90.05</v>
      </c>
      <c r="I137" s="2" t="s">
        <v>495</v>
      </c>
    </row>
    <row r="138" spans="1:9" ht="16.8" x14ac:dyDescent="0.4">
      <c r="A138" s="2" t="s">
        <v>321</v>
      </c>
      <c r="B138" s="2" t="s">
        <v>320</v>
      </c>
      <c r="C138" s="2" t="s">
        <v>295</v>
      </c>
      <c r="D138" s="2" t="s">
        <v>15</v>
      </c>
      <c r="E138" s="2">
        <v>166.12</v>
      </c>
      <c r="F138" s="2">
        <v>36.549999999999997</v>
      </c>
      <c r="G138" s="2">
        <v>5.48</v>
      </c>
      <c r="H138" s="2">
        <v>124.09</v>
      </c>
      <c r="I138" s="2" t="s">
        <v>495</v>
      </c>
    </row>
    <row r="139" spans="1:9" ht="16.8" x14ac:dyDescent="0.4">
      <c r="A139" s="2" t="s">
        <v>323</v>
      </c>
      <c r="B139" s="2" t="s">
        <v>322</v>
      </c>
      <c r="C139" s="2" t="s">
        <v>295</v>
      </c>
      <c r="D139" s="2" t="s">
        <v>11</v>
      </c>
      <c r="E139" s="2">
        <v>52.22</v>
      </c>
      <c r="F139" s="2">
        <v>9.4</v>
      </c>
      <c r="G139" s="2">
        <v>1.41</v>
      </c>
      <c r="H139" s="2">
        <v>41.41</v>
      </c>
      <c r="I139" s="2" t="s">
        <v>495</v>
      </c>
    </row>
    <row r="140" spans="1:9" ht="16.8" x14ac:dyDescent="0.4">
      <c r="A140" s="2" t="s">
        <v>325</v>
      </c>
      <c r="B140" s="2" t="s">
        <v>324</v>
      </c>
      <c r="C140" s="2" t="s">
        <v>326</v>
      </c>
      <c r="D140" s="2" t="s">
        <v>15</v>
      </c>
      <c r="E140" s="2">
        <v>232.19</v>
      </c>
      <c r="F140" s="2">
        <v>51.08</v>
      </c>
      <c r="G140" s="2">
        <v>7.66</v>
      </c>
      <c r="H140" s="2">
        <v>173.45</v>
      </c>
      <c r="I140" s="2" t="s">
        <v>495</v>
      </c>
    </row>
    <row r="141" spans="1:9" ht="16.8" x14ac:dyDescent="0.4">
      <c r="A141" s="2" t="s">
        <v>328</v>
      </c>
      <c r="B141" s="2" t="s">
        <v>327</v>
      </c>
      <c r="C141" s="2" t="s">
        <v>326</v>
      </c>
      <c r="D141" s="2" t="s">
        <v>14</v>
      </c>
      <c r="E141" s="2">
        <v>132.88999999999999</v>
      </c>
      <c r="F141" s="2">
        <v>15.95</v>
      </c>
      <c r="G141" s="2">
        <v>2.39</v>
      </c>
      <c r="H141" s="2">
        <v>114.55</v>
      </c>
      <c r="I141" s="2" t="s">
        <v>495</v>
      </c>
    </row>
    <row r="142" spans="1:9" ht="16.8" x14ac:dyDescent="0.4">
      <c r="A142" s="2" t="s">
        <v>330</v>
      </c>
      <c r="B142" s="2" t="s">
        <v>329</v>
      </c>
      <c r="C142" s="2" t="s">
        <v>326</v>
      </c>
      <c r="D142" s="2" t="s">
        <v>14</v>
      </c>
      <c r="E142" s="2">
        <v>90.36</v>
      </c>
      <c r="F142" s="2">
        <v>10.84</v>
      </c>
      <c r="G142" s="2">
        <v>1.63</v>
      </c>
      <c r="H142" s="2">
        <v>77.89</v>
      </c>
      <c r="I142" s="2" t="s">
        <v>495</v>
      </c>
    </row>
    <row r="143" spans="1:9" ht="16.8" x14ac:dyDescent="0.4">
      <c r="A143" s="2" t="s">
        <v>332</v>
      </c>
      <c r="B143" s="2" t="s">
        <v>331</v>
      </c>
      <c r="C143" s="2" t="s">
        <v>326</v>
      </c>
      <c r="D143" s="2" t="s">
        <v>14</v>
      </c>
      <c r="E143" s="2">
        <v>59.71</v>
      </c>
      <c r="F143" s="2">
        <v>7.17</v>
      </c>
      <c r="G143" s="2">
        <v>1.08</v>
      </c>
      <c r="H143" s="2">
        <v>51.46</v>
      </c>
      <c r="I143" s="2" t="s">
        <v>495</v>
      </c>
    </row>
    <row r="144" spans="1:9" ht="16.8" x14ac:dyDescent="0.4">
      <c r="A144" s="2" t="s">
        <v>334</v>
      </c>
      <c r="B144" s="2" t="s">
        <v>333</v>
      </c>
      <c r="C144" s="2" t="s">
        <v>326</v>
      </c>
      <c r="D144" s="2" t="s">
        <v>14</v>
      </c>
      <c r="E144" s="2">
        <v>78.400000000000006</v>
      </c>
      <c r="F144" s="2">
        <v>9.41</v>
      </c>
      <c r="G144" s="2">
        <v>1.41</v>
      </c>
      <c r="H144" s="2">
        <v>67.58</v>
      </c>
      <c r="I144" s="2" t="s">
        <v>495</v>
      </c>
    </row>
    <row r="145" spans="1:9" ht="16.8" x14ac:dyDescent="0.4">
      <c r="A145" s="2" t="s">
        <v>336</v>
      </c>
      <c r="B145" s="2" t="s">
        <v>335</v>
      </c>
      <c r="C145" s="2" t="s">
        <v>326</v>
      </c>
      <c r="D145" s="2" t="s">
        <v>14</v>
      </c>
      <c r="E145" s="2">
        <v>212.64</v>
      </c>
      <c r="F145" s="2">
        <v>25.52</v>
      </c>
      <c r="G145" s="2">
        <v>3.83</v>
      </c>
      <c r="H145" s="2">
        <v>183.29</v>
      </c>
      <c r="I145" s="2" t="s">
        <v>495</v>
      </c>
    </row>
    <row r="146" spans="1:9" ht="16.8" x14ac:dyDescent="0.4">
      <c r="A146" s="2" t="s">
        <v>338</v>
      </c>
      <c r="B146" s="2" t="s">
        <v>337</v>
      </c>
      <c r="C146" s="2" t="s">
        <v>326</v>
      </c>
      <c r="D146" s="2" t="s">
        <v>13</v>
      </c>
      <c r="E146" s="2">
        <v>156.63999999999999</v>
      </c>
      <c r="F146" s="2">
        <v>23.5</v>
      </c>
      <c r="G146" s="2">
        <v>3.52</v>
      </c>
      <c r="H146" s="2">
        <v>129.62</v>
      </c>
      <c r="I146" s="2" t="s">
        <v>495</v>
      </c>
    </row>
    <row r="147" spans="1:9" ht="16.8" x14ac:dyDescent="0.4">
      <c r="A147" s="2" t="s">
        <v>340</v>
      </c>
      <c r="B147" s="2" t="s">
        <v>339</v>
      </c>
      <c r="C147" s="2" t="s">
        <v>326</v>
      </c>
      <c r="D147" s="2" t="s">
        <v>12</v>
      </c>
      <c r="E147" s="2">
        <v>148.51</v>
      </c>
      <c r="F147" s="2">
        <v>29.7</v>
      </c>
      <c r="G147" s="2">
        <v>4.46</v>
      </c>
      <c r="H147" s="2">
        <v>114.35</v>
      </c>
      <c r="I147" s="2" t="s">
        <v>495</v>
      </c>
    </row>
    <row r="148" spans="1:9" ht="16.8" x14ac:dyDescent="0.4">
      <c r="A148" s="2" t="s">
        <v>342</v>
      </c>
      <c r="B148" s="2" t="s">
        <v>341</v>
      </c>
      <c r="C148" s="2" t="s">
        <v>326</v>
      </c>
      <c r="D148" s="2" t="s">
        <v>14</v>
      </c>
      <c r="E148" s="2">
        <v>177.99</v>
      </c>
      <c r="F148" s="2">
        <v>21.36</v>
      </c>
      <c r="G148" s="2">
        <v>3.2</v>
      </c>
      <c r="H148" s="2">
        <v>153.43</v>
      </c>
      <c r="I148" s="2" t="s">
        <v>495</v>
      </c>
    </row>
    <row r="149" spans="1:9" ht="16.8" x14ac:dyDescent="0.4">
      <c r="A149" s="2" t="s">
        <v>344</v>
      </c>
      <c r="B149" s="2" t="s">
        <v>343</v>
      </c>
      <c r="C149" s="2" t="s">
        <v>326</v>
      </c>
      <c r="D149" s="2" t="s">
        <v>11</v>
      </c>
      <c r="E149" s="2">
        <v>131.49</v>
      </c>
      <c r="F149" s="2">
        <v>23.67</v>
      </c>
      <c r="G149" s="2">
        <v>3.55</v>
      </c>
      <c r="H149" s="2">
        <v>104.27</v>
      </c>
      <c r="I149" s="2" t="s">
        <v>495</v>
      </c>
    </row>
    <row r="150" spans="1:9" ht="16.8" x14ac:dyDescent="0.4">
      <c r="A150" s="2" t="s">
        <v>346</v>
      </c>
      <c r="B150" s="2" t="s">
        <v>345</v>
      </c>
      <c r="C150" s="2" t="s">
        <v>326</v>
      </c>
      <c r="D150" s="2" t="s">
        <v>11</v>
      </c>
      <c r="E150" s="2">
        <v>193.31</v>
      </c>
      <c r="F150" s="2">
        <v>34.799999999999997</v>
      </c>
      <c r="G150" s="2">
        <v>5.22</v>
      </c>
      <c r="H150" s="2">
        <v>153.29</v>
      </c>
      <c r="I150" s="2" t="s">
        <v>495</v>
      </c>
    </row>
    <row r="151" spans="1:9" ht="16.8" x14ac:dyDescent="0.4">
      <c r="A151" s="2" t="s">
        <v>348</v>
      </c>
      <c r="B151" s="2" t="s">
        <v>347</v>
      </c>
      <c r="C151" s="2" t="s">
        <v>326</v>
      </c>
      <c r="D151" s="2" t="s">
        <v>11</v>
      </c>
      <c r="E151" s="2">
        <v>50.02</v>
      </c>
      <c r="F151" s="2">
        <v>9</v>
      </c>
      <c r="G151" s="2">
        <v>1.35</v>
      </c>
      <c r="H151" s="2">
        <v>39.67</v>
      </c>
      <c r="I151" s="2" t="s">
        <v>495</v>
      </c>
    </row>
    <row r="152" spans="1:9" ht="16.8" x14ac:dyDescent="0.4">
      <c r="A152" s="2" t="s">
        <v>350</v>
      </c>
      <c r="B152" s="2" t="s">
        <v>349</v>
      </c>
      <c r="C152" s="2" t="s">
        <v>326</v>
      </c>
      <c r="D152" s="2" t="s">
        <v>11</v>
      </c>
      <c r="E152" s="2">
        <v>142.97999999999999</v>
      </c>
      <c r="F152" s="2">
        <v>25.74</v>
      </c>
      <c r="G152" s="2">
        <v>3.86</v>
      </c>
      <c r="H152" s="2">
        <v>113.38</v>
      </c>
      <c r="I152" s="2" t="s">
        <v>495</v>
      </c>
    </row>
    <row r="153" spans="1:9" ht="16.8" x14ac:dyDescent="0.4">
      <c r="A153" s="2" t="s">
        <v>352</v>
      </c>
      <c r="B153" s="2" t="s">
        <v>351</v>
      </c>
      <c r="C153" s="2" t="s">
        <v>326</v>
      </c>
      <c r="D153" s="2" t="s">
        <v>13</v>
      </c>
      <c r="E153" s="2">
        <v>73.319999999999993</v>
      </c>
      <c r="F153" s="2">
        <v>11</v>
      </c>
      <c r="G153" s="2">
        <v>1.65</v>
      </c>
      <c r="H153" s="2">
        <v>60.67</v>
      </c>
      <c r="I153" s="2" t="s">
        <v>495</v>
      </c>
    </row>
    <row r="154" spans="1:9" ht="16.8" x14ac:dyDescent="0.4">
      <c r="A154" s="2" t="s">
        <v>354</v>
      </c>
      <c r="B154" s="2" t="s">
        <v>353</v>
      </c>
      <c r="C154" s="2" t="s">
        <v>326</v>
      </c>
      <c r="D154" s="2" t="s">
        <v>11</v>
      </c>
      <c r="E154" s="2">
        <v>58.710000000000008</v>
      </c>
      <c r="F154" s="2">
        <v>10.57</v>
      </c>
      <c r="G154" s="2">
        <v>1.59</v>
      </c>
      <c r="H154" s="2">
        <v>46.55</v>
      </c>
      <c r="I154" s="2" t="s">
        <v>495</v>
      </c>
    </row>
    <row r="155" spans="1:9" ht="16.8" x14ac:dyDescent="0.4">
      <c r="A155" s="2" t="s">
        <v>356</v>
      </c>
      <c r="B155" s="2" t="s">
        <v>355</v>
      </c>
      <c r="C155" s="2" t="s">
        <v>326</v>
      </c>
      <c r="D155" s="2" t="s">
        <v>14</v>
      </c>
      <c r="E155" s="2">
        <v>100.61</v>
      </c>
      <c r="F155" s="2">
        <v>12.07</v>
      </c>
      <c r="G155" s="2">
        <v>1.81</v>
      </c>
      <c r="H155" s="2">
        <v>86.73</v>
      </c>
      <c r="I155" s="2" t="s">
        <v>495</v>
      </c>
    </row>
    <row r="156" spans="1:9" ht="16.8" x14ac:dyDescent="0.4">
      <c r="A156" s="2" t="s">
        <v>358</v>
      </c>
      <c r="B156" s="2" t="s">
        <v>357</v>
      </c>
      <c r="C156" s="2" t="s">
        <v>359</v>
      </c>
      <c r="D156" s="2" t="s">
        <v>15</v>
      </c>
      <c r="E156" s="2">
        <v>59.28</v>
      </c>
      <c r="F156" s="2">
        <v>13.04</v>
      </c>
      <c r="G156" s="2">
        <v>1.96</v>
      </c>
      <c r="H156" s="2">
        <v>44.28</v>
      </c>
      <c r="I156" s="2" t="s">
        <v>495</v>
      </c>
    </row>
    <row r="157" spans="1:9" ht="16.8" x14ac:dyDescent="0.4">
      <c r="A157" s="2" t="s">
        <v>361</v>
      </c>
      <c r="B157" s="2" t="s">
        <v>360</v>
      </c>
      <c r="C157" s="2" t="s">
        <v>359</v>
      </c>
      <c r="D157" s="2" t="s">
        <v>11</v>
      </c>
      <c r="E157" s="2">
        <v>53.790000000000013</v>
      </c>
      <c r="F157" s="2">
        <v>9.68</v>
      </c>
      <c r="G157" s="2">
        <v>1.45</v>
      </c>
      <c r="H157" s="2">
        <v>42.66</v>
      </c>
      <c r="I157" s="2" t="s">
        <v>495</v>
      </c>
    </row>
    <row r="158" spans="1:9" ht="16.8" x14ac:dyDescent="0.4">
      <c r="A158" s="2" t="s">
        <v>363</v>
      </c>
      <c r="B158" s="2" t="s">
        <v>362</v>
      </c>
      <c r="C158" s="2" t="s">
        <v>359</v>
      </c>
      <c r="D158" s="2" t="s">
        <v>13</v>
      </c>
      <c r="E158" s="2">
        <v>105.4</v>
      </c>
      <c r="F158" s="2">
        <v>15.81</v>
      </c>
      <c r="G158" s="2">
        <v>2.37</v>
      </c>
      <c r="H158" s="2">
        <v>87.22</v>
      </c>
      <c r="I158" s="2" t="s">
        <v>495</v>
      </c>
    </row>
    <row r="159" spans="1:9" ht="16.8" x14ac:dyDescent="0.4">
      <c r="A159" s="2" t="s">
        <v>365</v>
      </c>
      <c r="B159" s="2" t="s">
        <v>364</v>
      </c>
      <c r="C159" s="2" t="s">
        <v>359</v>
      </c>
      <c r="D159" s="2" t="s">
        <v>13</v>
      </c>
      <c r="E159" s="2">
        <v>245.7</v>
      </c>
      <c r="F159" s="2">
        <v>36.85</v>
      </c>
      <c r="G159" s="2">
        <v>5.53</v>
      </c>
      <c r="H159" s="2">
        <v>203.32</v>
      </c>
      <c r="I159" s="2" t="s">
        <v>495</v>
      </c>
    </row>
    <row r="160" spans="1:9" ht="16.8" x14ac:dyDescent="0.4">
      <c r="A160" s="2" t="s">
        <v>367</v>
      </c>
      <c r="B160" s="2" t="s">
        <v>366</v>
      </c>
      <c r="C160" s="2" t="s">
        <v>359</v>
      </c>
      <c r="D160" s="2" t="s">
        <v>11</v>
      </c>
      <c r="E160" s="2">
        <v>76.819999999999993</v>
      </c>
      <c r="F160" s="2">
        <v>13.83</v>
      </c>
      <c r="G160" s="2">
        <v>2.0699999999999998</v>
      </c>
      <c r="H160" s="2">
        <v>60.92</v>
      </c>
      <c r="I160" s="2" t="s">
        <v>495</v>
      </c>
    </row>
    <row r="161" spans="1:9" ht="16.8" x14ac:dyDescent="0.4">
      <c r="A161" s="2" t="s">
        <v>369</v>
      </c>
      <c r="B161" s="2" t="s">
        <v>368</v>
      </c>
      <c r="C161" s="2" t="s">
        <v>359</v>
      </c>
      <c r="D161" s="2" t="s">
        <v>15</v>
      </c>
      <c r="E161" s="2">
        <v>39.24</v>
      </c>
      <c r="F161" s="2">
        <v>8.6300000000000008</v>
      </c>
      <c r="G161" s="2">
        <v>1.29</v>
      </c>
      <c r="H161" s="2">
        <v>29.32</v>
      </c>
      <c r="I161" s="2" t="s">
        <v>495</v>
      </c>
    </row>
    <row r="162" spans="1:9" ht="16.8" x14ac:dyDescent="0.4">
      <c r="A162" s="2" t="s">
        <v>371</v>
      </c>
      <c r="B162" s="2" t="s">
        <v>370</v>
      </c>
      <c r="C162" s="2" t="s">
        <v>359</v>
      </c>
      <c r="D162" s="2" t="s">
        <v>11</v>
      </c>
      <c r="E162" s="2">
        <v>200.31</v>
      </c>
      <c r="F162" s="2">
        <v>36.06</v>
      </c>
      <c r="G162" s="2">
        <v>5.41</v>
      </c>
      <c r="H162" s="2">
        <v>158.84</v>
      </c>
      <c r="I162" s="2" t="s">
        <v>495</v>
      </c>
    </row>
    <row r="163" spans="1:9" ht="16.8" x14ac:dyDescent="0.4">
      <c r="A163" s="2" t="s">
        <v>373</v>
      </c>
      <c r="B163" s="2" t="s">
        <v>372</v>
      </c>
      <c r="C163" s="2" t="s">
        <v>359</v>
      </c>
      <c r="D163" s="2" t="s">
        <v>13</v>
      </c>
      <c r="E163" s="2">
        <v>188.51</v>
      </c>
      <c r="F163" s="2">
        <v>28.28</v>
      </c>
      <c r="G163" s="2">
        <v>4.24</v>
      </c>
      <c r="H163" s="2">
        <v>155.99</v>
      </c>
      <c r="I163" s="2" t="s">
        <v>495</v>
      </c>
    </row>
    <row r="164" spans="1:9" ht="16.8" x14ac:dyDescent="0.4">
      <c r="A164" s="2" t="s">
        <v>375</v>
      </c>
      <c r="B164" s="2" t="s">
        <v>374</v>
      </c>
      <c r="C164" s="2" t="s">
        <v>359</v>
      </c>
      <c r="D164" s="2" t="s">
        <v>12</v>
      </c>
      <c r="E164" s="2">
        <v>101.45</v>
      </c>
      <c r="F164" s="2">
        <v>20.29</v>
      </c>
      <c r="G164" s="2">
        <v>3.04</v>
      </c>
      <c r="H164" s="2">
        <v>78.12</v>
      </c>
      <c r="I164" s="2" t="s">
        <v>495</v>
      </c>
    </row>
    <row r="165" spans="1:9" ht="16.8" x14ac:dyDescent="0.4">
      <c r="A165" s="2" t="s">
        <v>377</v>
      </c>
      <c r="B165" s="2" t="s">
        <v>376</v>
      </c>
      <c r="C165" s="2" t="s">
        <v>359</v>
      </c>
      <c r="D165" s="2" t="s">
        <v>14</v>
      </c>
      <c r="E165" s="2">
        <v>137.58000000000001</v>
      </c>
      <c r="F165" s="2">
        <v>16.510000000000002</v>
      </c>
      <c r="G165" s="2">
        <v>2.48</v>
      </c>
      <c r="H165" s="2">
        <v>118.59</v>
      </c>
      <c r="I165" s="2" t="s">
        <v>495</v>
      </c>
    </row>
    <row r="166" spans="1:9" ht="16.8" x14ac:dyDescent="0.4">
      <c r="A166" s="2" t="s">
        <v>379</v>
      </c>
      <c r="B166" s="2" t="s">
        <v>378</v>
      </c>
      <c r="C166" s="2" t="s">
        <v>359</v>
      </c>
      <c r="D166" s="2" t="s">
        <v>13</v>
      </c>
      <c r="E166" s="2">
        <v>158.81</v>
      </c>
      <c r="F166" s="2">
        <v>23.82</v>
      </c>
      <c r="G166" s="2">
        <v>3.57</v>
      </c>
      <c r="H166" s="2">
        <v>131.41999999999999</v>
      </c>
      <c r="I166" s="2" t="s">
        <v>495</v>
      </c>
    </row>
    <row r="167" spans="1:9" ht="16.8" x14ac:dyDescent="0.4">
      <c r="A167" s="2" t="s">
        <v>381</v>
      </c>
      <c r="B167" s="2" t="s">
        <v>380</v>
      </c>
      <c r="C167" s="2" t="s">
        <v>359</v>
      </c>
      <c r="D167" s="2" t="s">
        <v>11</v>
      </c>
      <c r="E167" s="2">
        <v>50.09</v>
      </c>
      <c r="F167" s="2">
        <v>9.02</v>
      </c>
      <c r="G167" s="2">
        <v>1.35</v>
      </c>
      <c r="H167" s="2">
        <v>39.72</v>
      </c>
      <c r="I167" s="2" t="s">
        <v>495</v>
      </c>
    </row>
    <row r="168" spans="1:9" ht="16.8" x14ac:dyDescent="0.4">
      <c r="A168" s="2" t="s">
        <v>383</v>
      </c>
      <c r="B168" s="2" t="s">
        <v>382</v>
      </c>
      <c r="C168" s="2" t="s">
        <v>359</v>
      </c>
      <c r="D168" s="2" t="s">
        <v>14</v>
      </c>
      <c r="E168" s="2">
        <v>239.32</v>
      </c>
      <c r="F168" s="2">
        <v>28.72</v>
      </c>
      <c r="G168" s="2">
        <v>4.3099999999999996</v>
      </c>
      <c r="H168" s="2">
        <v>206.29</v>
      </c>
      <c r="I168" s="2" t="s">
        <v>495</v>
      </c>
    </row>
    <row r="169" spans="1:9" ht="16.8" x14ac:dyDescent="0.4">
      <c r="A169" s="2" t="s">
        <v>385</v>
      </c>
      <c r="B169" s="2" t="s">
        <v>384</v>
      </c>
      <c r="C169" s="2" t="s">
        <v>359</v>
      </c>
      <c r="D169" s="2" t="s">
        <v>11</v>
      </c>
      <c r="E169" s="2">
        <v>226.2</v>
      </c>
      <c r="F169" s="2">
        <v>40.72</v>
      </c>
      <c r="G169" s="2">
        <v>6.11</v>
      </c>
      <c r="H169" s="2">
        <v>179.37</v>
      </c>
      <c r="I169" s="2" t="s">
        <v>495</v>
      </c>
    </row>
    <row r="170" spans="1:9" ht="16.8" x14ac:dyDescent="0.4">
      <c r="A170" s="2" t="s">
        <v>387</v>
      </c>
      <c r="B170" s="2" t="s">
        <v>386</v>
      </c>
      <c r="C170" s="2" t="s">
        <v>359</v>
      </c>
      <c r="D170" s="2" t="s">
        <v>11</v>
      </c>
      <c r="E170" s="2">
        <v>94.79</v>
      </c>
      <c r="F170" s="2">
        <v>17.059999999999999</v>
      </c>
      <c r="G170" s="2">
        <v>2.56</v>
      </c>
      <c r="H170" s="2">
        <v>75.17</v>
      </c>
      <c r="I170" s="2" t="s">
        <v>495</v>
      </c>
    </row>
    <row r="171" spans="1:9" ht="16.8" x14ac:dyDescent="0.4">
      <c r="A171" s="2" t="s">
        <v>389</v>
      </c>
      <c r="B171" s="2" t="s">
        <v>388</v>
      </c>
      <c r="C171" s="2" t="s">
        <v>359</v>
      </c>
      <c r="D171" s="2" t="s">
        <v>12</v>
      </c>
      <c r="E171" s="2">
        <v>38.89</v>
      </c>
      <c r="F171" s="2">
        <v>7.78</v>
      </c>
      <c r="G171" s="2">
        <v>1.17</v>
      </c>
      <c r="H171" s="2">
        <v>29.94</v>
      </c>
      <c r="I171" s="2" t="s">
        <v>495</v>
      </c>
    </row>
    <row r="172" spans="1:9" ht="16.8" x14ac:dyDescent="0.4">
      <c r="A172" s="2" t="s">
        <v>391</v>
      </c>
      <c r="B172" s="2" t="s">
        <v>390</v>
      </c>
      <c r="C172" s="2" t="s">
        <v>392</v>
      </c>
      <c r="D172" s="2" t="s">
        <v>14</v>
      </c>
      <c r="E172" s="2">
        <v>236.02</v>
      </c>
      <c r="F172" s="2">
        <v>28.32</v>
      </c>
      <c r="G172" s="2">
        <v>4.25</v>
      </c>
      <c r="H172" s="2">
        <v>203.45</v>
      </c>
      <c r="I172" s="2" t="s">
        <v>495</v>
      </c>
    </row>
    <row r="173" spans="1:9" ht="16.8" x14ac:dyDescent="0.4">
      <c r="A173" s="2" t="s">
        <v>394</v>
      </c>
      <c r="B173" s="2" t="s">
        <v>393</v>
      </c>
      <c r="C173" s="2" t="s">
        <v>392</v>
      </c>
      <c r="D173" s="2" t="s">
        <v>14</v>
      </c>
      <c r="E173" s="2">
        <v>145.22</v>
      </c>
      <c r="F173" s="2">
        <v>17.43</v>
      </c>
      <c r="G173" s="2">
        <v>2.61</v>
      </c>
      <c r="H173" s="2">
        <v>125.18</v>
      </c>
      <c r="I173" s="2" t="s">
        <v>495</v>
      </c>
    </row>
    <row r="174" spans="1:9" ht="16.8" x14ac:dyDescent="0.4">
      <c r="A174" s="2" t="s">
        <v>396</v>
      </c>
      <c r="B174" s="2" t="s">
        <v>395</v>
      </c>
      <c r="C174" s="2" t="s">
        <v>392</v>
      </c>
      <c r="D174" s="2" t="s">
        <v>12</v>
      </c>
      <c r="E174" s="2">
        <v>137.94</v>
      </c>
      <c r="F174" s="2">
        <v>27.59</v>
      </c>
      <c r="G174" s="2">
        <v>4.1399999999999997</v>
      </c>
      <c r="H174" s="2">
        <v>106.21</v>
      </c>
      <c r="I174" s="2" t="s">
        <v>495</v>
      </c>
    </row>
    <row r="175" spans="1:9" ht="16.8" x14ac:dyDescent="0.4">
      <c r="A175" s="2" t="s">
        <v>398</v>
      </c>
      <c r="B175" s="2" t="s">
        <v>397</v>
      </c>
      <c r="C175" s="2" t="s">
        <v>392</v>
      </c>
      <c r="D175" s="2" t="s">
        <v>13</v>
      </c>
      <c r="E175" s="2">
        <v>183.63</v>
      </c>
      <c r="F175" s="2">
        <v>27.54</v>
      </c>
      <c r="G175" s="2">
        <v>4.13</v>
      </c>
      <c r="H175" s="2">
        <v>151.96</v>
      </c>
      <c r="I175" s="2" t="s">
        <v>495</v>
      </c>
    </row>
    <row r="176" spans="1:9" ht="16.8" x14ac:dyDescent="0.4">
      <c r="A176" s="2" t="s">
        <v>400</v>
      </c>
      <c r="B176" s="2" t="s">
        <v>399</v>
      </c>
      <c r="C176" s="2" t="s">
        <v>392</v>
      </c>
      <c r="D176" s="2" t="s">
        <v>11</v>
      </c>
      <c r="E176" s="2">
        <v>169.33</v>
      </c>
      <c r="F176" s="2">
        <v>30.48</v>
      </c>
      <c r="G176" s="2">
        <v>4.57</v>
      </c>
      <c r="H176" s="2">
        <v>134.28</v>
      </c>
      <c r="I176" s="2" t="s">
        <v>495</v>
      </c>
    </row>
    <row r="177" spans="1:9" ht="16.8" x14ac:dyDescent="0.4">
      <c r="A177" s="2" t="s">
        <v>402</v>
      </c>
      <c r="B177" s="2" t="s">
        <v>401</v>
      </c>
      <c r="C177" s="2" t="s">
        <v>392</v>
      </c>
      <c r="D177" s="2" t="s">
        <v>15</v>
      </c>
      <c r="E177" s="2">
        <v>238.22</v>
      </c>
      <c r="F177" s="2">
        <v>52.41</v>
      </c>
      <c r="G177" s="2">
        <v>7.86</v>
      </c>
      <c r="H177" s="2">
        <v>177.95</v>
      </c>
      <c r="I177" s="2" t="s">
        <v>495</v>
      </c>
    </row>
    <row r="178" spans="1:9" ht="16.8" x14ac:dyDescent="0.4">
      <c r="A178" s="2" t="s">
        <v>404</v>
      </c>
      <c r="B178" s="2" t="s">
        <v>403</v>
      </c>
      <c r="C178" s="2" t="s">
        <v>392</v>
      </c>
      <c r="D178" s="2" t="s">
        <v>11</v>
      </c>
      <c r="E178" s="2">
        <v>214.46</v>
      </c>
      <c r="F178" s="2">
        <v>38.6</v>
      </c>
      <c r="G178" s="2">
        <v>5.79</v>
      </c>
      <c r="H178" s="2">
        <v>170.07</v>
      </c>
      <c r="I178" s="2" t="s">
        <v>495</v>
      </c>
    </row>
    <row r="179" spans="1:9" ht="16.8" x14ac:dyDescent="0.4">
      <c r="A179" s="2" t="s">
        <v>406</v>
      </c>
      <c r="B179" s="2" t="s">
        <v>405</v>
      </c>
      <c r="C179" s="2" t="s">
        <v>392</v>
      </c>
      <c r="D179" s="2" t="s">
        <v>11</v>
      </c>
      <c r="E179" s="2">
        <v>222.11</v>
      </c>
      <c r="F179" s="2">
        <v>39.979999999999997</v>
      </c>
      <c r="G179" s="2">
        <v>6</v>
      </c>
      <c r="H179" s="2">
        <v>176.13</v>
      </c>
      <c r="I179" s="2" t="s">
        <v>495</v>
      </c>
    </row>
    <row r="180" spans="1:9" ht="16.8" x14ac:dyDescent="0.4">
      <c r="A180" s="2" t="s">
        <v>408</v>
      </c>
      <c r="B180" s="2" t="s">
        <v>407</v>
      </c>
      <c r="C180" s="2" t="s">
        <v>392</v>
      </c>
      <c r="D180" s="2" t="s">
        <v>13</v>
      </c>
      <c r="E180" s="2">
        <v>156.28</v>
      </c>
      <c r="F180" s="2">
        <v>23.44</v>
      </c>
      <c r="G180" s="2">
        <v>3.52</v>
      </c>
      <c r="H180" s="2">
        <v>129.32</v>
      </c>
      <c r="I180" s="2" t="s">
        <v>495</v>
      </c>
    </row>
    <row r="181" spans="1:9" ht="16.8" x14ac:dyDescent="0.4">
      <c r="A181" s="2" t="s">
        <v>410</v>
      </c>
      <c r="B181" s="2" t="s">
        <v>409</v>
      </c>
      <c r="C181" s="2" t="s">
        <v>392</v>
      </c>
      <c r="D181" s="2" t="s">
        <v>11</v>
      </c>
      <c r="E181" s="2">
        <v>187.38</v>
      </c>
      <c r="F181" s="2">
        <v>33.729999999999997</v>
      </c>
      <c r="G181" s="2">
        <v>5.0599999999999996</v>
      </c>
      <c r="H181" s="2">
        <v>148.59</v>
      </c>
      <c r="I181" s="2" t="s">
        <v>495</v>
      </c>
    </row>
    <row r="182" spans="1:9" ht="16.8" x14ac:dyDescent="0.4">
      <c r="A182" s="2" t="s">
        <v>412</v>
      </c>
      <c r="B182" s="2" t="s">
        <v>411</v>
      </c>
      <c r="C182" s="2" t="s">
        <v>392</v>
      </c>
      <c r="D182" s="2" t="s">
        <v>12</v>
      </c>
      <c r="E182" s="2">
        <v>182.21</v>
      </c>
      <c r="F182" s="2">
        <v>36.44</v>
      </c>
      <c r="G182" s="2">
        <v>5.47</v>
      </c>
      <c r="H182" s="2">
        <v>140.30000000000001</v>
      </c>
      <c r="I182" s="2" t="s">
        <v>495</v>
      </c>
    </row>
    <row r="183" spans="1:9" ht="16.8" x14ac:dyDescent="0.4">
      <c r="A183" s="2" t="s">
        <v>414</v>
      </c>
      <c r="B183" s="2" t="s">
        <v>413</v>
      </c>
      <c r="C183" s="2" t="s">
        <v>392</v>
      </c>
      <c r="D183" s="2" t="s">
        <v>12</v>
      </c>
      <c r="E183" s="2">
        <v>160.41</v>
      </c>
      <c r="F183" s="2">
        <v>32.08</v>
      </c>
      <c r="G183" s="2">
        <v>4.8099999999999996</v>
      </c>
      <c r="H183" s="2">
        <v>123.52</v>
      </c>
      <c r="I183" s="2" t="s">
        <v>495</v>
      </c>
    </row>
    <row r="184" spans="1:9" ht="16.8" x14ac:dyDescent="0.4">
      <c r="A184" s="2" t="s">
        <v>416</v>
      </c>
      <c r="B184" s="2" t="s">
        <v>415</v>
      </c>
      <c r="C184" s="2" t="s">
        <v>392</v>
      </c>
      <c r="D184" s="2" t="s">
        <v>14</v>
      </c>
      <c r="E184" s="2">
        <v>66.989999999999995</v>
      </c>
      <c r="F184" s="2">
        <v>8.0399999999999991</v>
      </c>
      <c r="G184" s="2">
        <v>1.21</v>
      </c>
      <c r="H184" s="2">
        <v>57.74</v>
      </c>
      <c r="I184" s="2" t="s">
        <v>495</v>
      </c>
    </row>
    <row r="185" spans="1:9" ht="16.8" x14ac:dyDescent="0.4">
      <c r="A185" s="2" t="s">
        <v>418</v>
      </c>
      <c r="B185" s="2" t="s">
        <v>417</v>
      </c>
      <c r="C185" s="2" t="s">
        <v>392</v>
      </c>
      <c r="D185" s="2" t="s">
        <v>15</v>
      </c>
      <c r="E185" s="2">
        <v>210.35</v>
      </c>
      <c r="F185" s="2">
        <v>46.28</v>
      </c>
      <c r="G185" s="2">
        <v>6.94</v>
      </c>
      <c r="H185" s="2">
        <v>157.13</v>
      </c>
      <c r="I185" s="2" t="s">
        <v>495</v>
      </c>
    </row>
    <row r="186" spans="1:9" ht="16.8" x14ac:dyDescent="0.4">
      <c r="A186" s="2" t="s">
        <v>420</v>
      </c>
      <c r="B186" s="2" t="s">
        <v>419</v>
      </c>
      <c r="C186" s="2" t="s">
        <v>392</v>
      </c>
      <c r="D186" s="2" t="s">
        <v>11</v>
      </c>
      <c r="E186" s="2">
        <v>212.33</v>
      </c>
      <c r="F186" s="2">
        <v>38.22</v>
      </c>
      <c r="G186" s="2">
        <v>5.73</v>
      </c>
      <c r="H186" s="2">
        <v>168.38</v>
      </c>
      <c r="I186" s="2" t="s">
        <v>495</v>
      </c>
    </row>
    <row r="187" spans="1:9" ht="16.8" x14ac:dyDescent="0.4">
      <c r="A187" s="2" t="s">
        <v>422</v>
      </c>
      <c r="B187" s="2" t="s">
        <v>421</v>
      </c>
      <c r="C187" s="2" t="s">
        <v>423</v>
      </c>
      <c r="D187" s="2" t="s">
        <v>11</v>
      </c>
      <c r="E187" s="2">
        <v>171.45</v>
      </c>
      <c r="F187" s="2">
        <v>30.86</v>
      </c>
      <c r="G187" s="2">
        <v>4.63</v>
      </c>
      <c r="H187" s="2">
        <v>135.96</v>
      </c>
      <c r="I187" s="2" t="s">
        <v>495</v>
      </c>
    </row>
    <row r="188" spans="1:9" ht="16.8" x14ac:dyDescent="0.4">
      <c r="A188" s="2" t="s">
        <v>425</v>
      </c>
      <c r="B188" s="2" t="s">
        <v>424</v>
      </c>
      <c r="C188" s="2" t="s">
        <v>423</v>
      </c>
      <c r="D188" s="2" t="s">
        <v>13</v>
      </c>
      <c r="E188" s="2">
        <v>212.29</v>
      </c>
      <c r="F188" s="2">
        <v>31.84</v>
      </c>
      <c r="G188" s="2">
        <v>4.78</v>
      </c>
      <c r="H188" s="2">
        <v>175.67</v>
      </c>
      <c r="I188" s="2" t="s">
        <v>495</v>
      </c>
    </row>
    <row r="189" spans="1:9" ht="16.8" x14ac:dyDescent="0.4">
      <c r="A189" s="2" t="s">
        <v>427</v>
      </c>
      <c r="B189" s="2" t="s">
        <v>426</v>
      </c>
      <c r="C189" s="2" t="s">
        <v>423</v>
      </c>
      <c r="D189" s="2" t="s">
        <v>12</v>
      </c>
      <c r="E189" s="2">
        <v>176.81</v>
      </c>
      <c r="F189" s="2">
        <v>35.36</v>
      </c>
      <c r="G189" s="2">
        <v>5.3</v>
      </c>
      <c r="H189" s="2">
        <v>136.15</v>
      </c>
      <c r="I189" s="2" t="s">
        <v>495</v>
      </c>
    </row>
    <row r="190" spans="1:9" ht="16.8" x14ac:dyDescent="0.4">
      <c r="A190" s="2" t="s">
        <v>429</v>
      </c>
      <c r="B190" s="2" t="s">
        <v>428</v>
      </c>
      <c r="C190" s="2" t="s">
        <v>423</v>
      </c>
      <c r="D190" s="2" t="s">
        <v>15</v>
      </c>
      <c r="E190" s="2">
        <v>83.4</v>
      </c>
      <c r="F190" s="2">
        <v>18.350000000000001</v>
      </c>
      <c r="G190" s="2">
        <v>2.75</v>
      </c>
      <c r="H190" s="2">
        <v>62.3</v>
      </c>
      <c r="I190" s="2" t="s">
        <v>495</v>
      </c>
    </row>
    <row r="191" spans="1:9" ht="16.8" x14ac:dyDescent="0.4">
      <c r="A191" s="2" t="s">
        <v>431</v>
      </c>
      <c r="B191" s="2" t="s">
        <v>430</v>
      </c>
      <c r="C191" s="2" t="s">
        <v>423</v>
      </c>
      <c r="D191" s="2" t="s">
        <v>14</v>
      </c>
      <c r="E191" s="2">
        <v>97.53</v>
      </c>
      <c r="F191" s="2">
        <v>11.7</v>
      </c>
      <c r="G191" s="2">
        <v>1.76</v>
      </c>
      <c r="H191" s="2">
        <v>84.07</v>
      </c>
      <c r="I191" s="2" t="s">
        <v>495</v>
      </c>
    </row>
    <row r="192" spans="1:9" ht="16.8" x14ac:dyDescent="0.4">
      <c r="A192" s="2" t="s">
        <v>433</v>
      </c>
      <c r="B192" s="2" t="s">
        <v>432</v>
      </c>
      <c r="C192" s="2" t="s">
        <v>423</v>
      </c>
      <c r="D192" s="2" t="s">
        <v>12</v>
      </c>
      <c r="E192" s="2">
        <v>85.06</v>
      </c>
      <c r="F192" s="2">
        <v>17.010000000000002</v>
      </c>
      <c r="G192" s="2">
        <v>2.5499999999999998</v>
      </c>
      <c r="H192" s="2">
        <v>65.5</v>
      </c>
      <c r="I192" s="2" t="s">
        <v>495</v>
      </c>
    </row>
    <row r="193" spans="1:9" ht="16.8" x14ac:dyDescent="0.4">
      <c r="A193" s="2" t="s">
        <v>435</v>
      </c>
      <c r="B193" s="2" t="s">
        <v>434</v>
      </c>
      <c r="C193" s="2" t="s">
        <v>423</v>
      </c>
      <c r="D193" s="2" t="s">
        <v>14</v>
      </c>
      <c r="E193" s="2">
        <v>119.22</v>
      </c>
      <c r="F193" s="2">
        <v>14.31</v>
      </c>
      <c r="G193" s="2">
        <v>2.15</v>
      </c>
      <c r="H193" s="2">
        <v>102.76</v>
      </c>
      <c r="I193" s="2" t="s">
        <v>495</v>
      </c>
    </row>
    <row r="194" spans="1:9" ht="16.8" x14ac:dyDescent="0.4">
      <c r="A194" s="2" t="s">
        <v>437</v>
      </c>
      <c r="B194" s="2" t="s">
        <v>436</v>
      </c>
      <c r="C194" s="2" t="s">
        <v>423</v>
      </c>
      <c r="D194" s="2" t="s">
        <v>13</v>
      </c>
      <c r="E194" s="2">
        <v>48.18</v>
      </c>
      <c r="F194" s="2">
        <v>7.23</v>
      </c>
      <c r="G194" s="2">
        <v>1.08</v>
      </c>
      <c r="H194" s="2">
        <v>39.869999999999997</v>
      </c>
      <c r="I194" s="2" t="s">
        <v>495</v>
      </c>
    </row>
    <row r="195" spans="1:9" ht="16.8" x14ac:dyDescent="0.4">
      <c r="A195" s="2" t="s">
        <v>439</v>
      </c>
      <c r="B195" s="2" t="s">
        <v>438</v>
      </c>
      <c r="C195" s="2" t="s">
        <v>423</v>
      </c>
      <c r="D195" s="2" t="s">
        <v>13</v>
      </c>
      <c r="E195" s="2">
        <v>169.83</v>
      </c>
      <c r="F195" s="2">
        <v>25.47</v>
      </c>
      <c r="G195" s="2">
        <v>3.82</v>
      </c>
      <c r="H195" s="2">
        <v>140.54</v>
      </c>
      <c r="I195" s="2" t="s">
        <v>495</v>
      </c>
    </row>
    <row r="196" spans="1:9" ht="16.8" x14ac:dyDescent="0.4">
      <c r="A196" s="2" t="s">
        <v>441</v>
      </c>
      <c r="B196" s="2" t="s">
        <v>440</v>
      </c>
      <c r="C196" s="2" t="s">
        <v>423</v>
      </c>
      <c r="D196" s="2" t="s">
        <v>11</v>
      </c>
      <c r="E196" s="2">
        <v>110.68</v>
      </c>
      <c r="F196" s="2">
        <v>19.920000000000002</v>
      </c>
      <c r="G196" s="2">
        <v>2.99</v>
      </c>
      <c r="H196" s="2">
        <v>87.77</v>
      </c>
      <c r="I196" s="2" t="s">
        <v>495</v>
      </c>
    </row>
    <row r="197" spans="1:9" ht="16.8" x14ac:dyDescent="0.4">
      <c r="A197" s="2" t="s">
        <v>443</v>
      </c>
      <c r="B197" s="2" t="s">
        <v>442</v>
      </c>
      <c r="C197" s="2" t="s">
        <v>423</v>
      </c>
      <c r="D197" s="2" t="s">
        <v>15</v>
      </c>
      <c r="E197" s="2">
        <v>159.93</v>
      </c>
      <c r="F197" s="2">
        <v>35.18</v>
      </c>
      <c r="G197" s="2">
        <v>5.28</v>
      </c>
      <c r="H197" s="2">
        <v>119.47</v>
      </c>
      <c r="I197" s="2" t="s">
        <v>495</v>
      </c>
    </row>
    <row r="198" spans="1:9" ht="16.8" x14ac:dyDescent="0.4">
      <c r="A198" s="2" t="s">
        <v>445</v>
      </c>
      <c r="B198" s="2" t="s">
        <v>444</v>
      </c>
      <c r="C198" s="2" t="s">
        <v>423</v>
      </c>
      <c r="D198" s="2" t="s">
        <v>14</v>
      </c>
      <c r="E198" s="2">
        <v>120.93</v>
      </c>
      <c r="F198" s="2">
        <v>14.51</v>
      </c>
      <c r="G198" s="2">
        <v>2.1800000000000002</v>
      </c>
      <c r="H198" s="2">
        <v>104.24</v>
      </c>
      <c r="I198" s="2" t="s">
        <v>495</v>
      </c>
    </row>
    <row r="199" spans="1:9" ht="16.8" x14ac:dyDescent="0.4">
      <c r="A199" s="2" t="s">
        <v>447</v>
      </c>
      <c r="B199" s="2" t="s">
        <v>446</v>
      </c>
      <c r="C199" s="2" t="s">
        <v>423</v>
      </c>
      <c r="D199" s="2" t="s">
        <v>12</v>
      </c>
      <c r="E199" s="2">
        <v>164.83</v>
      </c>
      <c r="F199" s="2">
        <v>32.97</v>
      </c>
      <c r="G199" s="2">
        <v>4.95</v>
      </c>
      <c r="H199" s="2">
        <v>126.91</v>
      </c>
      <c r="I199" s="2" t="s">
        <v>495</v>
      </c>
    </row>
    <row r="200" spans="1:9" ht="16.8" x14ac:dyDescent="0.4">
      <c r="A200" s="2" t="s">
        <v>449</v>
      </c>
      <c r="B200" s="2" t="s">
        <v>448</v>
      </c>
      <c r="C200" s="2" t="s">
        <v>423</v>
      </c>
      <c r="D200" s="2" t="s">
        <v>13</v>
      </c>
      <c r="E200" s="2">
        <v>111.53</v>
      </c>
      <c r="F200" s="2">
        <v>16.73</v>
      </c>
      <c r="G200" s="2">
        <v>2.5099999999999998</v>
      </c>
      <c r="H200" s="2">
        <v>92.29</v>
      </c>
      <c r="I200" s="2" t="s">
        <v>495</v>
      </c>
    </row>
    <row r="201" spans="1:9" ht="16.8" x14ac:dyDescent="0.4">
      <c r="A201" s="2" t="s">
        <v>451</v>
      </c>
      <c r="B201" s="2" t="s">
        <v>450</v>
      </c>
      <c r="C201" s="2" t="s">
        <v>423</v>
      </c>
      <c r="D201" s="2" t="s">
        <v>11</v>
      </c>
      <c r="E201" s="2">
        <v>94.75</v>
      </c>
      <c r="F201" s="2">
        <v>17.059999999999999</v>
      </c>
      <c r="G201" s="2">
        <v>2.56</v>
      </c>
      <c r="H201" s="2">
        <v>75.13</v>
      </c>
      <c r="I201" s="2" t="s">
        <v>495</v>
      </c>
    </row>
    <row r="202" spans="1:9" ht="16.8" x14ac:dyDescent="0.4">
      <c r="A202" s="2" t="s">
        <v>453</v>
      </c>
      <c r="B202" s="2" t="s">
        <v>452</v>
      </c>
      <c r="C202" s="2" t="s">
        <v>423</v>
      </c>
      <c r="D202" s="2" t="s">
        <v>11</v>
      </c>
      <c r="E202" s="2">
        <v>129.75</v>
      </c>
      <c r="F202" s="2">
        <v>23.36</v>
      </c>
      <c r="G202" s="2">
        <v>3.5</v>
      </c>
      <c r="H202" s="2">
        <v>102.89</v>
      </c>
      <c r="I202" s="2" t="s">
        <v>495</v>
      </c>
    </row>
    <row r="203" spans="1:9" ht="16.8" x14ac:dyDescent="0.4">
      <c r="A203" s="2" t="s">
        <v>455</v>
      </c>
      <c r="B203" s="2" t="s">
        <v>454</v>
      </c>
      <c r="C203" s="2" t="s">
        <v>456</v>
      </c>
      <c r="D203" s="2" t="s">
        <v>14</v>
      </c>
      <c r="E203" s="2">
        <v>185.51</v>
      </c>
      <c r="F203" s="2">
        <v>22.26</v>
      </c>
      <c r="G203" s="2">
        <v>3.34</v>
      </c>
      <c r="H203" s="2">
        <v>159.91</v>
      </c>
      <c r="I203" s="2" t="s">
        <v>495</v>
      </c>
    </row>
    <row r="204" spans="1:9" ht="16.8" x14ac:dyDescent="0.4">
      <c r="A204" s="2" t="s">
        <v>458</v>
      </c>
      <c r="B204" s="2" t="s">
        <v>457</v>
      </c>
      <c r="C204" s="2" t="s">
        <v>456</v>
      </c>
      <c r="D204" s="2" t="s">
        <v>13</v>
      </c>
      <c r="E204" s="2">
        <v>113.15</v>
      </c>
      <c r="F204" s="2">
        <v>16.97</v>
      </c>
      <c r="G204" s="2">
        <v>2.5499999999999998</v>
      </c>
      <c r="H204" s="2">
        <v>93.63</v>
      </c>
      <c r="I204" s="2" t="s">
        <v>495</v>
      </c>
    </row>
    <row r="205" spans="1:9" ht="16.8" x14ac:dyDescent="0.4">
      <c r="A205" s="2" t="s">
        <v>460</v>
      </c>
      <c r="B205" s="2" t="s">
        <v>459</v>
      </c>
      <c r="C205" s="2" t="s">
        <v>456</v>
      </c>
      <c r="D205" s="2" t="s">
        <v>15</v>
      </c>
      <c r="E205" s="2">
        <v>236.7</v>
      </c>
      <c r="F205" s="2">
        <v>52.07</v>
      </c>
      <c r="G205" s="2">
        <v>7.81</v>
      </c>
      <c r="H205" s="2">
        <v>176.82</v>
      </c>
      <c r="I205" s="2" t="s">
        <v>495</v>
      </c>
    </row>
    <row r="206" spans="1:9" ht="16.8" x14ac:dyDescent="0.4">
      <c r="A206" s="2" t="s">
        <v>462</v>
      </c>
      <c r="B206" s="2" t="s">
        <v>461</v>
      </c>
      <c r="C206" s="2" t="s">
        <v>456</v>
      </c>
      <c r="D206" s="2" t="s">
        <v>13</v>
      </c>
      <c r="E206" s="2">
        <v>48.23</v>
      </c>
      <c r="F206" s="2">
        <v>7.23</v>
      </c>
      <c r="G206" s="2">
        <v>1.08</v>
      </c>
      <c r="H206" s="2">
        <v>39.92</v>
      </c>
      <c r="I206" s="2" t="s">
        <v>495</v>
      </c>
    </row>
    <row r="207" spans="1:9" ht="16.8" x14ac:dyDescent="0.4">
      <c r="A207" s="2" t="s">
        <v>464</v>
      </c>
      <c r="B207" s="2" t="s">
        <v>463</v>
      </c>
      <c r="C207" s="2" t="s">
        <v>456</v>
      </c>
      <c r="D207" s="2" t="s">
        <v>14</v>
      </c>
      <c r="E207" s="2">
        <v>127.77</v>
      </c>
      <c r="F207" s="2">
        <v>15.33</v>
      </c>
      <c r="G207" s="2">
        <v>2.2999999999999998</v>
      </c>
      <c r="H207" s="2">
        <v>110.14</v>
      </c>
      <c r="I207" s="2" t="s">
        <v>495</v>
      </c>
    </row>
    <row r="208" spans="1:9" ht="16.8" x14ac:dyDescent="0.4">
      <c r="A208" s="2" t="s">
        <v>466</v>
      </c>
      <c r="B208" s="2" t="s">
        <v>465</v>
      </c>
      <c r="C208" s="2" t="s">
        <v>456</v>
      </c>
      <c r="D208" s="2" t="s">
        <v>14</v>
      </c>
      <c r="E208" s="2">
        <v>243.19</v>
      </c>
      <c r="F208" s="2">
        <v>29.18</v>
      </c>
      <c r="G208" s="2">
        <v>4.38</v>
      </c>
      <c r="H208" s="2">
        <v>209.63</v>
      </c>
      <c r="I208" s="2" t="s">
        <v>495</v>
      </c>
    </row>
    <row r="209" spans="1:9" ht="16.8" x14ac:dyDescent="0.4">
      <c r="A209" s="2" t="s">
        <v>468</v>
      </c>
      <c r="B209" s="2" t="s">
        <v>467</v>
      </c>
      <c r="C209" s="2" t="s">
        <v>456</v>
      </c>
      <c r="D209" s="2" t="s">
        <v>13</v>
      </c>
      <c r="E209" s="2">
        <v>139.56</v>
      </c>
      <c r="F209" s="2">
        <v>20.93</v>
      </c>
      <c r="G209" s="2">
        <v>3.14</v>
      </c>
      <c r="H209" s="2">
        <v>115.49</v>
      </c>
      <c r="I209" s="2" t="s">
        <v>495</v>
      </c>
    </row>
    <row r="210" spans="1:9" ht="16.8" x14ac:dyDescent="0.4">
      <c r="A210" s="2" t="s">
        <v>470</v>
      </c>
      <c r="B210" s="2" t="s">
        <v>469</v>
      </c>
      <c r="C210" s="2" t="s">
        <v>456</v>
      </c>
      <c r="D210" s="2" t="s">
        <v>14</v>
      </c>
      <c r="E210" s="2">
        <v>128.93</v>
      </c>
      <c r="F210" s="2">
        <v>15.47</v>
      </c>
      <c r="G210" s="2">
        <v>2.3199999999999998</v>
      </c>
      <c r="H210" s="2">
        <v>111.14</v>
      </c>
      <c r="I210" s="2" t="s">
        <v>495</v>
      </c>
    </row>
    <row r="211" spans="1:9" ht="16.8" x14ac:dyDescent="0.4">
      <c r="A211" s="2" t="s">
        <v>472</v>
      </c>
      <c r="B211" s="2" t="s">
        <v>471</v>
      </c>
      <c r="C211" s="2" t="s">
        <v>456</v>
      </c>
      <c r="D211" s="2" t="s">
        <v>13</v>
      </c>
      <c r="E211" s="2">
        <v>159.38999999999999</v>
      </c>
      <c r="F211" s="2">
        <v>23.91</v>
      </c>
      <c r="G211" s="2">
        <v>3.59</v>
      </c>
      <c r="H211" s="2">
        <v>131.88999999999999</v>
      </c>
      <c r="I211" s="2" t="s">
        <v>495</v>
      </c>
    </row>
    <row r="212" spans="1:9" ht="16.8" x14ac:dyDescent="0.4">
      <c r="A212" s="2" t="s">
        <v>474</v>
      </c>
      <c r="B212" s="2" t="s">
        <v>473</v>
      </c>
      <c r="C212" s="2" t="s">
        <v>456</v>
      </c>
      <c r="D212" s="2" t="s">
        <v>12</v>
      </c>
      <c r="E212" s="2">
        <v>160.94</v>
      </c>
      <c r="F212" s="2">
        <v>32.19</v>
      </c>
      <c r="G212" s="2">
        <v>4.83</v>
      </c>
      <c r="H212" s="2">
        <v>123.92</v>
      </c>
      <c r="I212" s="2" t="s">
        <v>495</v>
      </c>
    </row>
    <row r="213" spans="1:9" ht="16.8" x14ac:dyDescent="0.4">
      <c r="A213" s="2" t="s">
        <v>476</v>
      </c>
      <c r="B213" s="2" t="s">
        <v>475</v>
      </c>
      <c r="C213" s="2" t="s">
        <v>456</v>
      </c>
      <c r="D213" s="2" t="s">
        <v>13</v>
      </c>
      <c r="E213" s="2">
        <v>193.65</v>
      </c>
      <c r="F213" s="2">
        <v>29.05</v>
      </c>
      <c r="G213" s="2">
        <v>4.3600000000000003</v>
      </c>
      <c r="H213" s="2">
        <v>160.24</v>
      </c>
      <c r="I213" s="2" t="s">
        <v>495</v>
      </c>
    </row>
    <row r="214" spans="1:9" ht="16.8" x14ac:dyDescent="0.4">
      <c r="A214" s="2" t="s">
        <v>478</v>
      </c>
      <c r="B214" s="2" t="s">
        <v>477</v>
      </c>
      <c r="C214" s="2" t="s">
        <v>456</v>
      </c>
      <c r="D214" s="2" t="s">
        <v>13</v>
      </c>
      <c r="E214" s="2">
        <v>66.81</v>
      </c>
      <c r="F214" s="2">
        <v>10.02</v>
      </c>
      <c r="G214" s="2">
        <v>1.5</v>
      </c>
      <c r="H214" s="2">
        <v>55.29</v>
      </c>
      <c r="I214" s="2" t="s">
        <v>495</v>
      </c>
    </row>
    <row r="215" spans="1:9" ht="16.8" x14ac:dyDescent="0.4">
      <c r="A215" s="2" t="s">
        <v>480</v>
      </c>
      <c r="B215" s="2" t="s">
        <v>479</v>
      </c>
      <c r="C215" s="2" t="s">
        <v>456</v>
      </c>
      <c r="D215" s="2" t="s">
        <v>14</v>
      </c>
      <c r="E215" s="2">
        <v>92.5</v>
      </c>
      <c r="F215" s="2">
        <v>11.1</v>
      </c>
      <c r="G215" s="2">
        <v>1.66</v>
      </c>
      <c r="H215" s="2">
        <v>79.739999999999995</v>
      </c>
      <c r="I215" s="2" t="s">
        <v>495</v>
      </c>
    </row>
    <row r="216" spans="1:9" ht="16.8" x14ac:dyDescent="0.4">
      <c r="A216" s="2" t="s">
        <v>482</v>
      </c>
      <c r="B216" s="2" t="s">
        <v>481</v>
      </c>
      <c r="C216" s="2" t="s">
        <v>456</v>
      </c>
      <c r="D216" s="2" t="s">
        <v>14</v>
      </c>
      <c r="E216" s="2">
        <v>161.91</v>
      </c>
      <c r="F216" s="2">
        <v>19.43</v>
      </c>
      <c r="G216" s="2">
        <v>2.91</v>
      </c>
      <c r="H216" s="2">
        <v>139.57</v>
      </c>
      <c r="I216" s="2" t="s">
        <v>495</v>
      </c>
    </row>
    <row r="217" spans="1:9" ht="16.8" x14ac:dyDescent="0.4">
      <c r="A217" s="2" t="s">
        <v>484</v>
      </c>
      <c r="B217" s="2" t="s">
        <v>483</v>
      </c>
      <c r="C217" s="2" t="s">
        <v>456</v>
      </c>
      <c r="D217" s="2" t="s">
        <v>11</v>
      </c>
      <c r="E217" s="2">
        <v>222.09</v>
      </c>
      <c r="F217" s="2">
        <v>39.979999999999997</v>
      </c>
      <c r="G217" s="2">
        <v>6</v>
      </c>
      <c r="H217" s="2">
        <v>176.11</v>
      </c>
      <c r="I217" s="2" t="s">
        <v>495</v>
      </c>
    </row>
    <row r="218" spans="1:9" ht="16.8" x14ac:dyDescent="0.4">
      <c r="A218" s="2" t="s">
        <v>486</v>
      </c>
      <c r="B218" s="2" t="s">
        <v>485</v>
      </c>
      <c r="C218" s="2" t="s">
        <v>487</v>
      </c>
      <c r="D218" s="2" t="s">
        <v>11</v>
      </c>
      <c r="E218" s="2">
        <v>157.99</v>
      </c>
      <c r="F218" s="2">
        <v>28.44</v>
      </c>
      <c r="G218" s="2">
        <v>4.2699999999999996</v>
      </c>
      <c r="H218" s="2">
        <v>125.28</v>
      </c>
      <c r="I218" s="2" t="s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6" sqref="B6"/>
    </sheetView>
  </sheetViews>
  <sheetFormatPr defaultRowHeight="14.4" x14ac:dyDescent="0.3"/>
  <cols>
    <col min="1" max="1" width="27" customWidth="1"/>
    <col min="2" max="2" width="100" customWidth="1"/>
  </cols>
  <sheetData>
    <row r="1" spans="1:2" ht="16.8" x14ac:dyDescent="0.4">
      <c r="A1" s="4" t="s">
        <v>496</v>
      </c>
      <c r="B1" s="4" t="s">
        <v>497</v>
      </c>
    </row>
    <row r="2" spans="1:2" ht="16.8" x14ac:dyDescent="0.4">
      <c r="A2" s="2" t="s">
        <v>498</v>
      </c>
      <c r="B2" s="2" t="s">
        <v>499</v>
      </c>
    </row>
    <row r="3" spans="1:2" ht="16.8" x14ac:dyDescent="0.4">
      <c r="A3" s="2" t="s">
        <v>500</v>
      </c>
      <c r="B3" s="2" t="s">
        <v>501</v>
      </c>
    </row>
    <row r="4" spans="1:2" ht="16.8" x14ac:dyDescent="0.4">
      <c r="A4" s="2" t="s">
        <v>502</v>
      </c>
      <c r="B4" s="2" t="s">
        <v>503</v>
      </c>
    </row>
    <row r="5" spans="1:2" ht="16.8" x14ac:dyDescent="0.4">
      <c r="A5" s="2" t="s">
        <v>504</v>
      </c>
      <c r="B5" s="2" t="s">
        <v>505</v>
      </c>
    </row>
    <row r="6" spans="1:2" ht="16.8" x14ac:dyDescent="0.4">
      <c r="A6" s="2" t="s">
        <v>506</v>
      </c>
      <c r="B6" s="2" t="s">
        <v>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Reconciliation_Audit</vt:lpstr>
      <vt:lpstr>POS_Sales_Report</vt:lpstr>
      <vt:lpstr>Delivery_Platform_Report</vt:lpstr>
      <vt:lpstr>Data_Notes_Assumptions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fathallah saed</cp:lastModifiedBy>
  <dcterms:created xsi:type="dcterms:W3CDTF">2026-09-12T09:21:28Z</dcterms:created>
  <dcterms:modified xsi:type="dcterms:W3CDTF">2026-09-12T11:47:46Z</dcterms:modified>
</cp:coreProperties>
</file>